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DD2FF4-0CDA-4DA5-A4F7-527799ACDE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cleaned data se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H2" i="2"/>
  <c r="M2" i="2" s="1"/>
  <c r="H3" i="2"/>
  <c r="M3" i="2" s="1"/>
  <c r="H4" i="2"/>
  <c r="M4" i="2" s="1"/>
  <c r="H5" i="2"/>
  <c r="M5" i="2" s="1"/>
  <c r="H6" i="2"/>
  <c r="M6" i="2" s="1"/>
  <c r="H7" i="2"/>
  <c r="M7" i="2" s="1"/>
  <c r="H8" i="2"/>
  <c r="M8" i="2" s="1"/>
  <c r="H9" i="2"/>
  <c r="M9" i="2" s="1"/>
  <c r="H10" i="2"/>
  <c r="M10" i="2" s="1"/>
  <c r="H11" i="2"/>
  <c r="M11" i="2" s="1"/>
  <c r="H12" i="2"/>
  <c r="M12" i="2" s="1"/>
  <c r="H13" i="2"/>
  <c r="M13" i="2" s="1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1" i="2"/>
  <c r="M21" i="2" s="1"/>
  <c r="H22" i="2"/>
  <c r="M22" i="2" s="1"/>
  <c r="H23" i="2"/>
  <c r="M23" i="2" s="1"/>
  <c r="H24" i="2"/>
  <c r="M24" i="2" s="1"/>
  <c r="H25" i="2"/>
  <c r="M25" i="2" s="1"/>
  <c r="H26" i="2"/>
  <c r="M26" i="2" s="1"/>
  <c r="H27" i="2"/>
  <c r="M27" i="2" s="1"/>
  <c r="H28" i="2"/>
  <c r="M28" i="2" s="1"/>
  <c r="H29" i="2"/>
  <c r="M29" i="2" s="1"/>
  <c r="H30" i="2"/>
  <c r="M30" i="2" s="1"/>
  <c r="H31" i="2"/>
  <c r="M31" i="2" s="1"/>
  <c r="H32" i="2"/>
  <c r="M32" i="2" s="1"/>
</calcChain>
</file>

<file path=xl/sharedStrings.xml><?xml version="1.0" encoding="utf-8"?>
<sst xmlns="http://schemas.openxmlformats.org/spreadsheetml/2006/main" count="447" uniqueCount="162">
  <si>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</si>
  <si>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</si>
  <si>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</si>
  <si>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</si>
  <si>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</si>
  <si>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</si>
  <si>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</si>
  <si>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</si>
  <si>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</si>
  <si>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</si>
  <si>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</si>
  <si>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</si>
  <si>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</si>
  <si>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</si>
  <si>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</si>
  <si>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</si>
  <si>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</si>
  <si>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</si>
  <si>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</si>
  <si>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</si>
  <si>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</si>
  <si>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</si>
  <si>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</si>
  <si>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</si>
  <si>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</si>
  <si>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</si>
  <si>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</si>
  <si>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</si>
  <si>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</si>
  <si>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</si>
  <si>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</si>
  <si>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</si>
  <si>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</si>
  <si>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</si>
  <si>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</si>
  <si>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</si>
  <si>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</si>
  <si>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</si>
  <si>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</si>
  <si>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</si>
  <si>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</si>
  <si>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</si>
  <si>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</si>
  <si>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</si>
  <si>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</si>
  <si>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</si>
  <si>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</si>
  <si>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</si>
  <si>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</si>
  <si>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</si>
  <si>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</si>
  <si>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</si>
  <si>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</si>
  <si>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</si>
  <si>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</si>
  <si>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</si>
  <si>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</si>
  <si>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</si>
  <si>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</si>
  <si>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</si>
  <si>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</si>
  <si>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</si>
  <si>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</si>
  <si>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</si>
  <si>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</si>
  <si>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</si>
  <si>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</si>
  <si>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</si>
  <si>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</si>
  <si>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</si>
  <si>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</si>
  <si>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</si>
  <si>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</si>
  <si>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</si>
  <si>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</si>
  <si>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</si>
  <si>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</si>
  <si>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</si>
  <si>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</si>
  <si>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</si>
  <si>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</si>
  <si>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</si>
  <si>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</si>
  <si>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</si>
  <si>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</si>
  <si>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</si>
  <si>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</si>
  <si>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</si>
  <si>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</si>
  <si>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</si>
  <si>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</si>
  <si>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</si>
  <si>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</si>
  <si>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</si>
  <si>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</si>
  <si>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</si>
  <si>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</si>
  <si>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</si>
  <si>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</si>
  <si>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</si>
  <si>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</si>
  <si>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</si>
  <si>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</si>
  <si>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</si>
  <si>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</si>
  <si>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</si>
  <si>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</si>
  <si>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</si>
  <si>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</si>
  <si>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</si>
  <si>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</si>
  <si>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</si>
  <si>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</si>
  <si>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</si>
  <si>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</si>
  <si>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Check for missing values in the 'Price' column.
 How would you handle products with missing price information?</t>
  </si>
  <si>
    <t>QUESTIONS</t>
  </si>
  <si>
    <t>ANSWERS</t>
  </si>
  <si>
    <t>Country Code</t>
  </si>
  <si>
    <t>Three duplicate values removed</t>
  </si>
  <si>
    <t>Data Type changed to currency format</t>
  </si>
  <si>
    <t>Manufacturing Date</t>
  </si>
  <si>
    <t>JAN</t>
  </si>
  <si>
    <t>US</t>
  </si>
  <si>
    <t>Updated Price</t>
  </si>
  <si>
    <t>Updated Product Name</t>
  </si>
  <si>
    <r>
      <rPr>
        <b/>
        <sz val="10"/>
        <color rgb="FF000000"/>
        <rFont val="Arial"/>
        <family val="2"/>
        <scheme val="minor"/>
      </rPr>
      <t xml:space="preserve">COLUMN H </t>
    </r>
    <r>
      <rPr>
        <sz val="10"/>
        <color rgb="FF000000"/>
        <rFont val="Arial"/>
        <scheme val="minor"/>
      </rPr>
      <t xml:space="preserve">{Inconsistent Text format corrected using </t>
    </r>
    <r>
      <rPr>
        <b/>
        <sz val="10"/>
        <color rgb="FF000000"/>
        <rFont val="Arial"/>
        <family val="2"/>
        <scheme val="minor"/>
      </rPr>
      <t>"PROPER"</t>
    </r>
    <r>
      <rPr>
        <sz val="10"/>
        <color rgb="FF000000"/>
        <rFont val="Arial"/>
        <scheme val="minor"/>
      </rPr>
      <t xml:space="preserve"> function</t>
    </r>
  </si>
  <si>
    <t>COMPLETED</t>
  </si>
  <si>
    <r>
      <t>Missing categories filled by using filter to find blanks and then filled using data validation function(</t>
    </r>
    <r>
      <rPr>
        <b/>
        <sz val="10"/>
        <color theme="1"/>
        <rFont val="Arial"/>
        <family val="2"/>
      </rPr>
      <t>Drop down menu</t>
    </r>
    <r>
      <rPr>
        <sz val="10"/>
        <color theme="1"/>
        <rFont val="Arial"/>
      </rPr>
      <t xml:space="preserve">)- Missing values found=4.
(Corrected categories are highlighted using </t>
    </r>
    <r>
      <rPr>
        <sz val="10"/>
        <color rgb="FFFF0000"/>
        <rFont val="Arial"/>
        <family val="2"/>
      </rPr>
      <t>Red).</t>
    </r>
  </si>
  <si>
    <t>"Electroni" typo corrected using Find and Replace and changed to "Electronics"
4 datas Corrected.</t>
  </si>
  <si>
    <t>Product Brand</t>
  </si>
  <si>
    <r>
      <rPr>
        <b/>
        <sz val="10"/>
        <color theme="1"/>
        <rFont val="Arial"/>
        <family val="2"/>
      </rPr>
      <t>COLUMN G</t>
    </r>
    <r>
      <rPr>
        <sz val="10"/>
        <color theme="1"/>
        <rFont val="Arial"/>
        <family val="2"/>
      </rPr>
      <t xml:space="preserve"> {Missing price values filled with the average price value using IF function 
and highlighted with</t>
    </r>
    <r>
      <rPr>
        <sz val="10"/>
        <color theme="5" tint="-0.249977111117893"/>
        <rFont val="Arial"/>
        <family val="2"/>
      </rPr>
      <t xml:space="preserve"> RED</t>
    </r>
    <r>
      <rPr>
        <sz val="10"/>
        <color theme="1"/>
        <rFont val="Arial"/>
        <family val="2"/>
      </rPr>
      <t>}</t>
    </r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</si>
  <si>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</si>
  <si>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</si>
  <si>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</si>
  <si>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</si>
  <si>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</si>
  <si>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</si>
  <si>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</si>
  <si>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</si>
  <si>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</si>
  <si>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</si>
  <si>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</si>
  <si>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</si>
  <si>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</si>
  <si>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</si>
  <si>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</si>
  <si>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</si>
  <si>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</si>
  <si>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</si>
  <si>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</si>
  <si>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</si>
  <si>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</si>
  <si>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</si>
  <si>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</si>
  <si>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 xml:space="preserve"> Date</t>
  </si>
  <si>
    <r>
      <t xml:space="preserve">Done using </t>
    </r>
    <r>
      <rPr>
        <b/>
        <sz val="10"/>
        <color rgb="FF000000"/>
        <rFont val="Arial"/>
        <family val="2"/>
        <scheme val="minor"/>
      </rPr>
      <t>DATEVALUE</t>
    </r>
    <r>
      <rPr>
        <sz val="10"/>
        <color rgb="FF000000"/>
        <rFont val="Arial"/>
        <scheme val="minor"/>
      </rPr>
      <t xml:space="preserve"> Function and format cells set to date.</t>
    </r>
  </si>
  <si>
    <t>T-Shirt</t>
  </si>
  <si>
    <t>COLUMN I,J,K</t>
  </si>
  <si>
    <r>
      <rPr>
        <b/>
        <sz val="10"/>
        <color rgb="FF000000"/>
        <rFont val="Arial"/>
        <family val="2"/>
        <scheme val="minor"/>
      </rPr>
      <t>COLUMN M</t>
    </r>
    <r>
      <rPr>
        <sz val="10"/>
        <color rgb="FF000000"/>
        <rFont val="Arial"/>
        <scheme val="minor"/>
      </rPr>
      <t xml:space="preserve"> - Using </t>
    </r>
    <r>
      <rPr>
        <b/>
        <sz val="10"/>
        <color rgb="FF000000"/>
        <rFont val="Arial"/>
        <family val="2"/>
        <scheme val="minor"/>
      </rPr>
      <t>Concatenate</t>
    </r>
    <r>
      <rPr>
        <sz val="10"/>
        <color rgb="FF000000"/>
        <rFont val="Arial"/>
        <scheme val="minor"/>
      </rPr>
      <t xml:space="preserve"> Function</t>
    </r>
  </si>
  <si>
    <t>COLUMN G</t>
  </si>
  <si>
    <r>
      <t xml:space="preserve">Done with </t>
    </r>
    <r>
      <rPr>
        <b/>
        <sz val="10"/>
        <color rgb="FF000000"/>
        <rFont val="Arial"/>
        <family val="2"/>
        <scheme val="minor"/>
      </rPr>
      <t>"Light Red Fill"</t>
    </r>
    <r>
      <rPr>
        <sz val="10"/>
        <color rgb="FF000000"/>
        <rFont val="Arial"/>
        <family val="2"/>
        <scheme val="minor"/>
      </rPr>
      <t xml:space="preserve"> IN </t>
    </r>
    <r>
      <rPr>
        <b/>
        <sz val="10"/>
        <color rgb="FF000000"/>
        <rFont val="Arial"/>
        <family val="2"/>
        <scheme val="minor"/>
      </rPr>
      <t>COLUMN 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</si>
</sst>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dd\-mm\-yyyy"/>
  </numFmts>
  <fonts count="1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sz val="10"/>
      <color theme="5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0F7FA"/>
      </patternFill>
    </fill>
    <fill>
      <patternFill patternType="solid">
        <fgColor theme="0"/>
        <bgColor rgb="FF4DD0E1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8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vertical="center" wrapText="1"/>
    </xf>
    <xf numFmtId="0" fontId="11" fillId="0" borderId="0" xfId="0" applyFont="1"/>
    <xf numFmtId="0" fontId="10" fillId="0" borderId="0" xfId="0" applyFont="1"/>
    <xf numFmtId="0" fontId="10" fillId="0" borderId="0" xfId="0" applyFont="1" applyAlignment="1"/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3" borderId="1" xfId="0" applyFont="1" applyFill="1" applyBorder="1"/>
    <xf numFmtId="0" fontId="5" fillId="0" borderId="2" xfId="0" applyFont="1" applyBorder="1"/>
    <xf numFmtId="0" fontId="5" fillId="3" borderId="2" xfId="0" applyFont="1" applyFill="1" applyBorder="1"/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5" fillId="3" borderId="7" xfId="0" applyFont="1" applyFill="1" applyBorder="1"/>
    <xf numFmtId="0" fontId="5" fillId="3" borderId="8" xfId="0" applyFont="1" applyFill="1" applyBorder="1"/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0" fillId="0" borderId="1" xfId="0" applyFont="1" applyBorder="1" applyAlignment="1"/>
    <xf numFmtId="0" fontId="10" fillId="5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/>
    <xf numFmtId="44" fontId="5" fillId="0" borderId="1" xfId="1" applyFont="1" applyBorder="1"/>
    <xf numFmtId="44" fontId="5" fillId="3" borderId="1" xfId="1" applyFont="1" applyFill="1" applyBorder="1"/>
    <xf numFmtId="44" fontId="5" fillId="0" borderId="1" xfId="1" applyFont="1" applyBorder="1" applyAlignment="1">
      <alignment vertical="center"/>
    </xf>
    <xf numFmtId="44" fontId="5" fillId="3" borderId="1" xfId="1" applyFont="1" applyFill="1" applyBorder="1" applyAlignment="1">
      <alignment vertical="center"/>
    </xf>
    <xf numFmtId="15" fontId="5" fillId="3" borderId="1" xfId="0" applyNumberFormat="1" applyFont="1" applyFill="1" applyBorder="1" applyAlignment="1">
      <alignment vertical="center"/>
    </xf>
    <xf numFmtId="44" fontId="0" fillId="0" borderId="0" xfId="1" applyFont="1" applyAlignment="1"/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/>
    </xf>
    <xf numFmtId="0" fontId="9" fillId="3" borderId="1" xfId="0" applyFont="1" applyFill="1" applyBorder="1" applyAlignment="1"/>
    <xf numFmtId="44" fontId="13" fillId="2" borderId="5" xfId="1" applyFont="1" applyFill="1" applyBorder="1" applyAlignment="1">
      <alignment horizontal="center"/>
    </xf>
    <xf numFmtId="0" fontId="5" fillId="3" borderId="3" xfId="0" applyFont="1" applyFill="1" applyBorder="1" applyAlignment="1"/>
    <xf numFmtId="0" fontId="16" fillId="0" borderId="1" xfId="0" applyFont="1" applyBorder="1"/>
    <xf numFmtId="0" fontId="16" fillId="3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44" fontId="5" fillId="3" borderId="8" xfId="1" applyFont="1" applyFill="1" applyBorder="1"/>
    <xf numFmtId="0" fontId="9" fillId="3" borderId="8" xfId="0" applyFont="1" applyFill="1" applyBorder="1" applyAlignment="1"/>
    <xf numFmtId="0" fontId="5" fillId="3" borderId="9" xfId="0" applyFont="1" applyFill="1" applyBorder="1" applyAlignment="1"/>
    <xf numFmtId="0" fontId="15" fillId="0" borderId="1" xfId="0" applyFont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44" fontId="5" fillId="6" borderId="1" xfId="1" applyFont="1" applyFill="1" applyBorder="1" applyAlignment="1">
      <alignment vertical="center"/>
    </xf>
    <xf numFmtId="0" fontId="5" fillId="7" borderId="2" xfId="0" applyFont="1" applyFill="1" applyBorder="1"/>
    <xf numFmtId="0" fontId="5" fillId="6" borderId="1" xfId="0" applyFont="1" applyFill="1" applyBorder="1"/>
    <xf numFmtId="44" fontId="5" fillId="6" borderId="1" xfId="1" applyFont="1" applyFill="1" applyBorder="1"/>
    <xf numFmtId="44" fontId="17" fillId="3" borderId="1" xfId="1" applyFont="1" applyFill="1" applyBorder="1"/>
    <xf numFmtId="44" fontId="17" fillId="3" borderId="1" xfId="1" applyFont="1" applyFill="1" applyBorder="1" applyAlignment="1">
      <alignment vertical="center"/>
    </xf>
    <xf numFmtId="0" fontId="9" fillId="0" borderId="2" xfId="0" applyFont="1" applyBorder="1"/>
    <xf numFmtId="14" fontId="9" fillId="3" borderId="1" xfId="0" applyNumberFormat="1" applyFont="1" applyFill="1" applyBorder="1" applyAlignment="1">
      <alignment horizontal="left" vertical="center"/>
    </xf>
    <xf numFmtId="14" fontId="9" fillId="3" borderId="8" xfId="0" applyNumberFormat="1" applyFont="1" applyFill="1" applyBorder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0" fontId="9" fillId="3" borderId="1" xfId="0" applyNumberFormat="1" applyFont="1" applyFill="1" applyBorder="1" applyAlignment="1">
      <alignment horizontal="left" vertical="center"/>
    </xf>
    <xf numFmtId="14" fontId="13" fillId="2" borderId="5" xfId="0" applyNumberFormat="1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/>
    </xf>
    <xf numFmtId="0" fontId="5" fillId="9" borderId="0" xfId="0" applyFont="1" applyFill="1" applyBorder="1" applyAlignment="1"/>
    <xf numFmtId="0" fontId="5" fillId="9" borderId="3" xfId="0" applyFont="1" applyFill="1" applyBorder="1" applyAlignment="1"/>
    <xf numFmtId="0" fontId="5" fillId="9" borderId="3" xfId="0" applyFont="1" applyFill="1" applyBorder="1" applyAlignment="1">
      <alignment vertical="center"/>
    </xf>
    <xf numFmtId="0" fontId="0" fillId="10" borderId="0" xfId="0" applyFont="1" applyFill="1" applyAlignment="1"/>
    <xf numFmtId="0" fontId="10" fillId="4" borderId="1" xfId="0" applyFont="1" applyFill="1" applyBorder="1" applyAlignment="1">
      <alignment horizontal="center" vertical="center" wrapText="1"/>
    </xf>
    <xf numFmtId="165" fontId="13" fillId="2" borderId="6" xfId="0" applyNumberFormat="1" applyFont="1" applyFill="1" applyBorder="1" applyAlignment="1">
      <alignment horizontal="center"/>
    </xf>
    <xf numFmtId="165" fontId="9" fillId="3" borderId="3" xfId="0" applyNumberFormat="1" applyFont="1" applyFill="1" applyBorder="1" applyAlignment="1"/>
    <xf numFmtId="165" fontId="9" fillId="3" borderId="9" xfId="0" applyNumberFormat="1" applyFont="1" applyFill="1" applyBorder="1" applyAlignment="1"/>
    <xf numFmtId="165" fontId="5" fillId="3" borderId="0" xfId="0" applyNumberFormat="1" applyFont="1" applyFill="1" applyBorder="1" applyAlignment="1"/>
    <xf numFmtId="165" fontId="0" fillId="0" borderId="0" xfId="0" applyNumberFormat="1" applyFont="1" applyAlignment="1"/>
    <xf numFmtId="0" fontId="15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d\-mm\-yyyy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d\-mm\-yyyy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11EF2-AD0C-4C9D-9FD5-8ABA63C24935}" name="Table1" displayName="Table1" ref="A1:M32" totalsRowShown="0" headerRowDxfId="35" dataDxfId="33" headerRowBorderDxfId="34" tableBorderDxfId="32" totalsRowBorderDxfId="31">
  <autoFilter ref="A1:M32" xr:uid="{F1211EF2-AD0C-4C9D-9FD5-8ABA63C24935}"/>
  <tableColumns count="13">
    <tableColumn id="1" xr3:uid="{BCACDAA2-046D-4B82-AAFF-B17527C8C007}" name="Product ID" dataDxfId="30"/>
    <tableColumn id="2" xr3:uid="{6C6AA9A0-B486-4CAE-92E4-E5767CA26D90}" name="Product Name" dataDxfId="29"/>
    <tableColumn id="3" xr3:uid="{774DDE1A-5AD0-41D4-9A30-26B080F0F7C0}" name="Brand Name" dataDxfId="28"/>
    <tableColumn id="4" xr3:uid="{C3AC7455-9896-4FB9-A676-0D7AE679C899}" name="Price ($)" dataDxfId="20" dataCellStyle="Currency"/>
    <tableColumn id="5" xr3:uid="{1267BEAA-D144-45DE-9F65-E9C53292EA81}" name="Quantity" dataDxfId="27"/>
    <tableColumn id="6" xr3:uid="{6B24FFF9-5124-43B2-AFEB-43350F9A5E5E}" name="Category" dataDxfId="26"/>
    <tableColumn id="9" xr3:uid="{C7FBE41D-1666-47C0-AC68-F0BCCE657407}" name="Updated Price" dataDxfId="19" dataCellStyle="Currency">
      <calculatedColumnFormula>IF(ISBLANK(Table1[[#This Row],[Price ($)]]),AVERAGE(Table1[Price ($)]),Table1[[#This Row],[Price ($)]])</calculatedColumnFormula>
    </tableColumn>
    <tableColumn id="10" xr3:uid="{78D01AF6-B22C-4247-8360-84BFDB318968}" name="Updated Product Name" dataDxfId="25">
      <calculatedColumnFormula>PROPER(Table1[[#This Row],[Product Name]])</calculatedColumnFormula>
    </tableColumn>
    <tableColumn id="7" xr3:uid="{7CD516F9-B5C9-4B34-A674-96C513DCC868}" name=" Date" dataDxfId="24"/>
    <tableColumn id="15" xr3:uid="{BDA034C7-3F18-49F6-A653-4B4FE1B2CBD7}" name="Month" dataDxfId="23"/>
    <tableColumn id="11" xr3:uid="{45DBA1B5-9F15-457E-956C-6EE33080FBCA}" name="Country Code" dataDxfId="22"/>
    <tableColumn id="16" xr3:uid="{74CA1730-9EC3-4CFE-BBE3-9EA6F2348208}" name="Manufacturing Date" dataDxfId="0">
      <calculatedColumnFormula>DATEVALUE(Table1[[#This Row],[ Date]]&amp;"-"&amp;Table1[[#This Row],[Month]]&amp;"-2026")</calculatedColumnFormula>
    </tableColumn>
    <tableColumn id="14" xr3:uid="{0DA99B78-B066-4EA5-8A5E-6F13CABA7D80}" name="Product Brand" dataDxfId="21">
      <calculatedColumnFormula>CONCATENATE(Table1[[#This Row],[Brand Name]]," ",Table1[[#This Row],[Updated Product Name]])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EEEF32-C113-4A8E-B8EC-BEF01202BA8D}" name="Table14" displayName="Table14" ref="A1:K32" totalsRowShown="0" headerRowDxfId="18" dataDxfId="17" headerRowBorderDxfId="15" tableBorderDxfId="16" totalsRowBorderDxfId="14">
  <autoFilter ref="A1:K32" xr:uid="{EEEEEF32-C113-4A8E-B8EC-BEF01202BA8D}"/>
  <tableColumns count="11">
    <tableColumn id="1" xr3:uid="{94F63955-597D-4244-8DCE-B7B88EE11185}" name="Product ID" dataDxfId="13"/>
    <tableColumn id="2" xr3:uid="{4EAF784D-CB99-4B0A-AEE8-B8D2DF89E1C6}" name="Product Name" dataDxfId="12"/>
    <tableColumn id="3" xr3:uid="{D23A2996-5203-4F63-BFF2-1A1BFA499E74}" name="Brand Name" dataDxfId="11"/>
    <tableColumn id="4" xr3:uid="{3A57DE12-41FF-4349-B561-C017A1DD1EF9}" name="Price ($)" dataDxfId="5" dataCellStyle="Currency"/>
    <tableColumn id="5" xr3:uid="{B7F06358-20D6-4041-9E40-5A34DE450B12}" name="Quantity" dataDxfId="10"/>
    <tableColumn id="6" xr3:uid="{F0B18144-10D0-46C8-96A3-51C121572B34}" name="Category" dataDxfId="9"/>
    <tableColumn id="7" xr3:uid="{2D5883FF-DED8-4DE7-91C2-FDB75600C952}" name=" Date" dataDxfId="8"/>
    <tableColumn id="15" xr3:uid="{29A4B3BA-6AF5-4CFC-B34A-C5C4D8136AC5}" name="Month" dataDxfId="7"/>
    <tableColumn id="11" xr3:uid="{9DFFD41C-199A-4F0F-B3A4-FABE817F4682}" name="Country Code" dataDxfId="6"/>
    <tableColumn id="16" xr3:uid="{AA3A6560-AEFA-427D-B8C6-6F2DE9CF5E35}" name="Manufacturing Date" dataDxfId="1">
      <calculatedColumnFormula>DATEVALUE(Table14[[#This Row],[ Date]]&amp;"-"&amp;Table14[[#This Row],[Month]]&amp;"-2026")</calculatedColumnFormula>
    </tableColumn>
    <tableColumn id="14" xr3:uid="{291E40D7-63BB-4DE0-B5E7-42D1A31A9FF7}" name="Product Brand" dataDxfId="2">
      <calculatedColumnFormula>CONCATENATE(Table14[[#This Row],[Brand Name]]," ",Table14[[#This Row],[Product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>
      <selection activeCell="C4" sqref="C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10" t="s">
        <v>3</v>
      </c>
    </row>
    <row r="6" spans="1:11" ht="15.75" customHeight="1" x14ac:dyDescent="0.3">
      <c r="B6" s="4"/>
    </row>
    <row r="7" spans="1:11" ht="15.75" customHeight="1" x14ac:dyDescent="0.3">
      <c r="B7" s="11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11" t="s">
        <v>8</v>
      </c>
    </row>
    <row r="13" spans="1:11" ht="15.75" customHeight="1" x14ac:dyDescent="0.3">
      <c r="B13" s="2"/>
      <c r="C13" s="10" t="s">
        <v>9</v>
      </c>
    </row>
    <row r="14" spans="1:11" ht="15.75" customHeight="1" x14ac:dyDescent="0.25"/>
    <row r="15" spans="1:11" ht="15.75" customHeight="1" x14ac:dyDescent="0.3">
      <c r="B15" s="12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tabSelected="1" topLeftCell="H1" zoomScale="85" zoomScaleNormal="85" workbookViewId="0">
      <selection activeCell="O22" sqref="O22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7.88671875" style="38" bestFit="1" customWidth="1"/>
    <col min="8" max="8" width="26.109375" bestFit="1" customWidth="1"/>
    <col min="9" max="9" width="7.77734375" style="65" bestFit="1" customWidth="1"/>
    <col min="10" max="10" width="8.6640625" style="65" bestFit="1" customWidth="1"/>
    <col min="11" max="11" width="17.77734375" bestFit="1" customWidth="1"/>
    <col min="12" max="12" width="22.6640625" style="78" bestFit="1" customWidth="1"/>
    <col min="13" max="13" width="21.44140625" bestFit="1" customWidth="1"/>
    <col min="14" max="14" width="21.44140625" style="72" customWidth="1"/>
    <col min="15" max="15" width="57.77734375" customWidth="1"/>
    <col min="16" max="16" width="73.109375" bestFit="1" customWidth="1"/>
  </cols>
  <sheetData>
    <row r="1" spans="1:21" ht="15.75" customHeight="1" x14ac:dyDescent="0.25">
      <c r="A1" s="18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45" t="s">
        <v>124</v>
      </c>
      <c r="H1" s="43" t="s">
        <v>125</v>
      </c>
      <c r="I1" s="67" t="s">
        <v>155</v>
      </c>
      <c r="J1" s="67" t="s">
        <v>154</v>
      </c>
      <c r="K1" s="43" t="s">
        <v>118</v>
      </c>
      <c r="L1" s="74" t="s">
        <v>121</v>
      </c>
      <c r="M1" s="20" t="s">
        <v>130</v>
      </c>
      <c r="N1" s="68"/>
      <c r="O1" s="31" t="s">
        <v>116</v>
      </c>
      <c r="P1" s="31" t="s">
        <v>117</v>
      </c>
    </row>
    <row r="2" spans="1:21" ht="15.75" customHeight="1" x14ac:dyDescent="0.25">
      <c r="A2" s="62" t="s">
        <v>25</v>
      </c>
      <c r="B2" s="14" t="s">
        <v>26</v>
      </c>
      <c r="C2" s="14" t="s">
        <v>27</v>
      </c>
      <c r="D2" s="33">
        <v>1000</v>
      </c>
      <c r="E2" s="14">
        <v>30</v>
      </c>
      <c r="F2" s="14" t="s">
        <v>28</v>
      </c>
      <c r="G2" s="33">
        <f>IF(ISBLANK(Table1[[#This Row],[Price ($)]]),AVERAGE(Table1[Price ($)]),Table1[[#This Row],[Price ($)]])</f>
        <v>1000</v>
      </c>
      <c r="H2" s="14" t="str">
        <f>PROPER(Table1[[#This Row],[Product Name]])</f>
        <v>Laptop</v>
      </c>
      <c r="I2" s="66">
        <v>28</v>
      </c>
      <c r="J2" s="63" t="s">
        <v>122</v>
      </c>
      <c r="K2" s="44" t="s">
        <v>123</v>
      </c>
      <c r="L2" s="75">
        <f>DATEVALUE(Table1[[#This Row],[ Date]]&amp;"-"&amp;Table1[[#This Row],[Month]]&amp;"-2026")</f>
        <v>46050</v>
      </c>
      <c r="M2" s="46" t="str">
        <f>CONCATENATE(Table1[[#This Row],[Brand Name]]," ",Table1[[#This Row],[Updated Product Name]])</f>
        <v>Dell Laptop</v>
      </c>
      <c r="N2" s="69"/>
    </row>
    <row r="3" spans="1:21" ht="15.75" customHeight="1" x14ac:dyDescent="0.25">
      <c r="A3" s="17" t="s">
        <v>29</v>
      </c>
      <c r="B3" s="15" t="s">
        <v>30</v>
      </c>
      <c r="C3" s="15" t="s">
        <v>31</v>
      </c>
      <c r="D3" s="34">
        <v>80</v>
      </c>
      <c r="E3" s="15">
        <v>15</v>
      </c>
      <c r="F3" s="15" t="s">
        <v>32</v>
      </c>
      <c r="G3" s="34">
        <f>IF(ISBLANK(Table1[[#This Row],[Price ($)]]),AVERAGE(Table1[Price ($)]),Table1[[#This Row],[Price ($)]])</f>
        <v>80</v>
      </c>
      <c r="H3" s="15" t="str">
        <f>PROPER(Table1[[#This Row],[Product Name]])</f>
        <v>Sneakers</v>
      </c>
      <c r="I3" s="66">
        <v>15</v>
      </c>
      <c r="J3" s="63" t="s">
        <v>143</v>
      </c>
      <c r="K3" s="44" t="s">
        <v>123</v>
      </c>
      <c r="L3" s="75">
        <f>DATEVALUE(Table1[[#This Row],[ Date]]&amp;"-"&amp;Table1[[#This Row],[Month]]&amp;"-2026")</f>
        <v>46068</v>
      </c>
      <c r="M3" s="46" t="str">
        <f>CONCATENATE(Table1[[#This Row],[Brand Name]]," ",Table1[[#This Row],[Updated Product Name]])</f>
        <v>Nike Sneakers</v>
      </c>
      <c r="N3" s="70"/>
      <c r="O3" s="73" t="s">
        <v>1</v>
      </c>
      <c r="P3" s="73"/>
      <c r="Q3" s="9"/>
      <c r="R3" s="6"/>
      <c r="S3" s="6"/>
      <c r="T3" s="6"/>
      <c r="U3" s="6"/>
    </row>
    <row r="4" spans="1:21" s="25" customFormat="1" ht="46.8" x14ac:dyDescent="0.25">
      <c r="A4" s="23" t="s">
        <v>33</v>
      </c>
      <c r="B4" s="24" t="s">
        <v>34</v>
      </c>
      <c r="C4" s="24" t="s">
        <v>35</v>
      </c>
      <c r="D4" s="35">
        <v>130</v>
      </c>
      <c r="E4" s="24">
        <v>40</v>
      </c>
      <c r="F4" s="24" t="s">
        <v>36</v>
      </c>
      <c r="G4" s="35">
        <f>IF(ISBLANK(Table1[[#This Row],[Price ($)]]),AVERAGE(Table1[Price ($)]),Table1[[#This Row],[Price ($)]])</f>
        <v>130</v>
      </c>
      <c r="H4" s="24" t="str">
        <f>PROPER(Table1[[#This Row],[Product Name]])</f>
        <v>Coffee Maker</v>
      </c>
      <c r="I4" s="66">
        <v>3</v>
      </c>
      <c r="J4" s="63" t="s">
        <v>144</v>
      </c>
      <c r="K4" s="44" t="s">
        <v>123</v>
      </c>
      <c r="L4" s="75">
        <f>DATEVALUE(Table1[[#This Row],[ Date]]&amp;"-"&amp;Table1[[#This Row],[Month]]&amp;"-2026")</f>
        <v>46084</v>
      </c>
      <c r="M4" s="29" t="str">
        <f>CONCATENATE(Table1[[#This Row],[Brand Name]]," ",Table1[[#This Row],[Updated Product Name]])</f>
        <v>Keurig Coffee Maker</v>
      </c>
      <c r="N4" s="71"/>
      <c r="O4" s="13" t="s">
        <v>115</v>
      </c>
      <c r="P4" s="41" t="s">
        <v>131</v>
      </c>
      <c r="Q4" s="26"/>
      <c r="R4" s="26"/>
      <c r="S4" s="26"/>
      <c r="T4" s="26"/>
      <c r="U4" s="26"/>
    </row>
    <row r="5" spans="1:21" s="25" customFormat="1" ht="39.6" x14ac:dyDescent="0.25">
      <c r="A5" s="27" t="s">
        <v>37</v>
      </c>
      <c r="B5" s="28" t="s">
        <v>38</v>
      </c>
      <c r="C5" s="28" t="s">
        <v>39</v>
      </c>
      <c r="D5" s="36">
        <v>900</v>
      </c>
      <c r="E5" s="28">
        <v>25</v>
      </c>
      <c r="F5" s="28" t="s">
        <v>28</v>
      </c>
      <c r="G5" s="36">
        <f>IF(ISBLANK(Table1[[#This Row],[Price ($)]]),AVERAGE(Table1[Price ($)]),Table1[[#This Row],[Price ($)]])</f>
        <v>900</v>
      </c>
      <c r="H5" s="28" t="str">
        <f>PROPER(Table1[[#This Row],[Product Name]])</f>
        <v>Smartphone</v>
      </c>
      <c r="I5" s="66">
        <v>11</v>
      </c>
      <c r="J5" s="63" t="s">
        <v>145</v>
      </c>
      <c r="K5" s="44" t="s">
        <v>123</v>
      </c>
      <c r="L5" s="75">
        <f>DATEVALUE(Table1[[#This Row],[ Date]]&amp;"-"&amp;Table1[[#This Row],[Month]]&amp;"-2026")</f>
        <v>46123</v>
      </c>
      <c r="M5" s="29" t="str">
        <f>CONCATENATE(Table1[[#This Row],[Brand Name]]," ",Table1[[#This Row],[Updated Product Name]])</f>
        <v>Samsung Smartphone</v>
      </c>
      <c r="N5" s="71"/>
      <c r="O5" s="13" t="s">
        <v>3</v>
      </c>
      <c r="P5" s="41" t="s">
        <v>128</v>
      </c>
      <c r="Q5" s="26"/>
      <c r="R5" s="26"/>
      <c r="S5" s="26"/>
      <c r="T5" s="26"/>
      <c r="U5" s="26"/>
    </row>
    <row r="6" spans="1:21" ht="15.75" customHeight="1" x14ac:dyDescent="0.25">
      <c r="A6" s="16" t="s">
        <v>40</v>
      </c>
      <c r="B6" s="14" t="s">
        <v>41</v>
      </c>
      <c r="C6" s="14" t="s">
        <v>42</v>
      </c>
      <c r="D6" s="33">
        <v>70</v>
      </c>
      <c r="E6" s="14">
        <v>20</v>
      </c>
      <c r="F6" s="47" t="s">
        <v>32</v>
      </c>
      <c r="G6" s="33">
        <f>IF(ISBLANK(Table1[[#This Row],[Price ($)]]),AVERAGE(Table1[Price ($)]),Table1[[#This Row],[Price ($)]])</f>
        <v>70</v>
      </c>
      <c r="H6" s="14" t="str">
        <f>PROPER(Table1[[#This Row],[Product Name]])</f>
        <v>Backpack</v>
      </c>
      <c r="I6" s="66">
        <v>22</v>
      </c>
      <c r="J6" s="63" t="s">
        <v>146</v>
      </c>
      <c r="K6" s="44" t="s">
        <v>123</v>
      </c>
      <c r="L6" s="75">
        <f>DATEVALUE(Table1[[#This Row],[ Date]]&amp;"-"&amp;Table1[[#This Row],[Month]]&amp;"-2026")</f>
        <v>46164</v>
      </c>
      <c r="M6" s="46" t="str">
        <f>CONCATENATE(Table1[[#This Row],[Brand Name]]," ",Table1[[#This Row],[Updated Product Name]])</f>
        <v>North Face Backpack</v>
      </c>
      <c r="N6" s="69"/>
    </row>
    <row r="7" spans="1:21" ht="15.75" customHeight="1" x14ac:dyDescent="0.25">
      <c r="A7" s="17" t="s">
        <v>43</v>
      </c>
      <c r="B7" s="15" t="s">
        <v>44</v>
      </c>
      <c r="C7" s="15" t="s">
        <v>45</v>
      </c>
      <c r="D7" s="34"/>
      <c r="E7" s="15">
        <v>45</v>
      </c>
      <c r="F7" s="15" t="s">
        <v>28</v>
      </c>
      <c r="G7" s="60">
        <f>IF(ISBLANK(Table1[[#This Row],[Price ($)]]),AVERAGE(Table1[Price ($)]),Table1[[#This Row],[Price ($)]])</f>
        <v>297.85714285714283</v>
      </c>
      <c r="H7" s="15" t="str">
        <f>PROPER(Table1[[#This Row],[Product Name]])</f>
        <v>Headphones</v>
      </c>
      <c r="I7" s="66">
        <v>7</v>
      </c>
      <c r="J7" s="63" t="s">
        <v>147</v>
      </c>
      <c r="K7" s="44" t="s">
        <v>132</v>
      </c>
      <c r="L7" s="75">
        <f>DATEVALUE(Table1[[#This Row],[ Date]]&amp;"-"&amp;Table1[[#This Row],[Month]]&amp;"-2026")</f>
        <v>46180</v>
      </c>
      <c r="M7" s="46" t="str">
        <f>CONCATENATE(Table1[[#This Row],[Brand Name]]," ",Table1[[#This Row],[Updated Product Name]])</f>
        <v>Sony Headphones</v>
      </c>
      <c r="N7" s="70"/>
      <c r="O7" s="73" t="s">
        <v>4</v>
      </c>
      <c r="P7" s="73"/>
    </row>
    <row r="8" spans="1:21" s="25" customFormat="1" ht="31.2" x14ac:dyDescent="0.25">
      <c r="A8" s="23" t="s">
        <v>46</v>
      </c>
      <c r="B8" s="24" t="s">
        <v>47</v>
      </c>
      <c r="C8" s="24" t="s">
        <v>48</v>
      </c>
      <c r="D8" s="35">
        <v>30</v>
      </c>
      <c r="E8" s="24">
        <v>5</v>
      </c>
      <c r="F8" s="24" t="s">
        <v>32</v>
      </c>
      <c r="G8" s="35">
        <f>IF(ISBLANK(Table1[[#This Row],[Price ($)]]),AVERAGE(Table1[Price ($)]),Table1[[#This Row],[Price ($)]])</f>
        <v>30</v>
      </c>
      <c r="H8" s="24" t="str">
        <f>PROPER(Table1[[#This Row],[Product Name]])</f>
        <v>T-Shirt</v>
      </c>
      <c r="I8" s="66">
        <v>19</v>
      </c>
      <c r="J8" s="63" t="s">
        <v>148</v>
      </c>
      <c r="K8" s="44" t="s">
        <v>132</v>
      </c>
      <c r="L8" s="75">
        <f>DATEVALUE(Table1[[#This Row],[ Date]]&amp;"-"&amp;Table1[[#This Row],[Month]]&amp;"-2026")</f>
        <v>46222</v>
      </c>
      <c r="M8" s="29" t="str">
        <f>CONCATENATE(Table1[[#This Row],[Brand Name]]," ",Table1[[#This Row],[Updated Product Name]])</f>
        <v>Adidas T-Shirt</v>
      </c>
      <c r="N8" s="71"/>
      <c r="O8" s="13" t="s">
        <v>5</v>
      </c>
      <c r="P8" s="40" t="s">
        <v>126</v>
      </c>
    </row>
    <row r="9" spans="1:21" ht="26.4" x14ac:dyDescent="0.25">
      <c r="A9" s="17" t="s">
        <v>49</v>
      </c>
      <c r="B9" s="15" t="s">
        <v>50</v>
      </c>
      <c r="C9" s="15" t="s">
        <v>51</v>
      </c>
      <c r="D9" s="34">
        <v>90</v>
      </c>
      <c r="E9" s="15">
        <v>35</v>
      </c>
      <c r="F9" s="15" t="s">
        <v>36</v>
      </c>
      <c r="G9" s="34">
        <f>IF(ISBLANK(Table1[[#This Row],[Price ($)]]),AVERAGE(Table1[Price ($)]),Table1[[#This Row],[Price ($)]])</f>
        <v>90</v>
      </c>
      <c r="H9" s="15" t="str">
        <f>PROPER(Table1[[#This Row],[Product Name]])</f>
        <v>Blender</v>
      </c>
      <c r="I9" s="66">
        <v>23</v>
      </c>
      <c r="J9" s="63" t="s">
        <v>149</v>
      </c>
      <c r="K9" s="44" t="s">
        <v>132</v>
      </c>
      <c r="L9" s="75">
        <f>DATEVALUE(Table1[[#This Row],[ Date]]&amp;"-"&amp;Table1[[#This Row],[Month]]&amp;"-2026")</f>
        <v>46257</v>
      </c>
      <c r="M9" s="46" t="str">
        <f>CONCATENATE(Table1[[#This Row],[Brand Name]]," ",Table1[[#This Row],[Updated Product Name]])</f>
        <v>Ninja Blender</v>
      </c>
      <c r="N9" s="70"/>
      <c r="O9" s="13" t="s">
        <v>6</v>
      </c>
      <c r="P9" s="42" t="s">
        <v>129</v>
      </c>
    </row>
    <row r="10" spans="1:21" s="25" customFormat="1" ht="46.8" x14ac:dyDescent="0.25">
      <c r="A10" s="23" t="s">
        <v>52</v>
      </c>
      <c r="B10" s="24" t="s">
        <v>53</v>
      </c>
      <c r="C10" s="24" t="s">
        <v>54</v>
      </c>
      <c r="D10" s="35">
        <v>500</v>
      </c>
      <c r="E10" s="24">
        <v>50</v>
      </c>
      <c r="F10" s="24" t="s">
        <v>28</v>
      </c>
      <c r="G10" s="35">
        <f>IF(ISBLANK(Table1[[#This Row],[Price ($)]]),AVERAGE(Table1[Price ($)]),Table1[[#This Row],[Price ($)]])</f>
        <v>500</v>
      </c>
      <c r="H10" s="24" t="str">
        <f>PROPER(Table1[[#This Row],[Product Name]])</f>
        <v>Tablet</v>
      </c>
      <c r="I10" s="66">
        <v>5</v>
      </c>
      <c r="J10" s="63" t="s">
        <v>150</v>
      </c>
      <c r="K10" s="44" t="s">
        <v>132</v>
      </c>
      <c r="L10" s="75">
        <f>DATEVALUE(Table1[[#This Row],[ Date]]&amp;"-"&amp;Table1[[#This Row],[Month]]&amp;"-2026")</f>
        <v>46270</v>
      </c>
      <c r="M10" s="29" t="str">
        <f>CONCATENATE(Table1[[#This Row],[Brand Name]]," ",Table1[[#This Row],[Updated Product Name]])</f>
        <v>Apple Tablet</v>
      </c>
      <c r="N10" s="71"/>
      <c r="O10" s="13" t="s">
        <v>7</v>
      </c>
      <c r="P10" s="39" t="s">
        <v>127</v>
      </c>
    </row>
    <row r="11" spans="1:21" ht="15.75" customHeight="1" x14ac:dyDescent="0.25">
      <c r="A11" s="17" t="s">
        <v>55</v>
      </c>
      <c r="B11" s="15" t="s">
        <v>56</v>
      </c>
      <c r="C11" s="15" t="s">
        <v>57</v>
      </c>
      <c r="D11" s="34">
        <v>130</v>
      </c>
      <c r="E11" s="15">
        <v>10</v>
      </c>
      <c r="F11" s="15" t="s">
        <v>58</v>
      </c>
      <c r="G11" s="34">
        <f>IF(ISBLANK(Table1[[#This Row],[Price ($)]]),AVERAGE(Table1[Price ($)]),Table1[[#This Row],[Price ($)]])</f>
        <v>130</v>
      </c>
      <c r="H11" s="15" t="str">
        <f>PROPER(Table1[[#This Row],[Product Name]])</f>
        <v>Hiking Boots</v>
      </c>
      <c r="I11" s="66">
        <v>14</v>
      </c>
      <c r="J11" s="63" t="s">
        <v>151</v>
      </c>
      <c r="K11" s="44" t="s">
        <v>132</v>
      </c>
      <c r="L11" s="75">
        <f>DATEVALUE(Table1[[#This Row],[ Date]]&amp;"-"&amp;Table1[[#This Row],[Month]]&amp;"-2026")</f>
        <v>46309</v>
      </c>
      <c r="M11" s="46" t="str">
        <f>CONCATENATE(Table1[[#This Row],[Brand Name]]," ",Table1[[#This Row],[Updated Product Name]])</f>
        <v>Timberland Hiking Boots</v>
      </c>
      <c r="N11" s="69"/>
    </row>
    <row r="12" spans="1:21" ht="15.75" customHeight="1" x14ac:dyDescent="0.25">
      <c r="A12" s="16" t="s">
        <v>59</v>
      </c>
      <c r="B12" s="14" t="s">
        <v>60</v>
      </c>
      <c r="C12" s="14" t="s">
        <v>61</v>
      </c>
      <c r="D12" s="33">
        <v>950</v>
      </c>
      <c r="E12" s="14">
        <v>25</v>
      </c>
      <c r="F12" s="14" t="s">
        <v>28</v>
      </c>
      <c r="G12" s="33">
        <f>IF(ISBLANK(Table1[[#This Row],[Price ($)]]),AVERAGE(Table1[Price ($)]),Table1[[#This Row],[Price ($)]])</f>
        <v>950</v>
      </c>
      <c r="H12" s="14" t="str">
        <f>PROPER(Table1[[#This Row],[Product Name]])</f>
        <v>Laptop</v>
      </c>
      <c r="I12" s="66">
        <v>17</v>
      </c>
      <c r="J12" s="63" t="s">
        <v>147</v>
      </c>
      <c r="K12" s="44" t="s">
        <v>133</v>
      </c>
      <c r="L12" s="75">
        <f>DATEVALUE(Table1[[#This Row],[ Date]]&amp;"-"&amp;Table1[[#This Row],[Month]]&amp;"-2026")</f>
        <v>46190</v>
      </c>
      <c r="M12" s="46" t="str">
        <f>CONCATENATE(Table1[[#This Row],[Brand Name]]," ",Table1[[#This Row],[Updated Product Name]])</f>
        <v>HP Laptop</v>
      </c>
      <c r="N12" s="70"/>
      <c r="O12" s="73" t="s">
        <v>8</v>
      </c>
      <c r="P12" s="73"/>
    </row>
    <row r="13" spans="1:21" s="25" customFormat="1" ht="31.2" x14ac:dyDescent="0.25">
      <c r="A13" s="27" t="s">
        <v>62</v>
      </c>
      <c r="B13" s="28" t="s">
        <v>30</v>
      </c>
      <c r="C13" s="28" t="s">
        <v>48</v>
      </c>
      <c r="D13" s="36">
        <v>90</v>
      </c>
      <c r="E13" s="28">
        <v>40</v>
      </c>
      <c r="F13" s="48" t="s">
        <v>32</v>
      </c>
      <c r="G13" s="36">
        <f>IF(ISBLANK(Table1[[#This Row],[Price ($)]]),AVERAGE(Table1[Price ($)]),Table1[[#This Row],[Price ($)]])</f>
        <v>90</v>
      </c>
      <c r="H13" s="28" t="str">
        <f>PROPER(Table1[[#This Row],[Product Name]])</f>
        <v>Sneakers</v>
      </c>
      <c r="I13" s="66">
        <v>25</v>
      </c>
      <c r="J13" s="63" t="s">
        <v>152</v>
      </c>
      <c r="K13" s="44" t="s">
        <v>134</v>
      </c>
      <c r="L13" s="75">
        <f>DATEVALUE(Table1[[#This Row],[ Date]]&amp;"-"&amp;Table1[[#This Row],[Month]]&amp;"-2026")</f>
        <v>46351</v>
      </c>
      <c r="M13" s="29" t="str">
        <f>CONCATENATE(Table1[[#This Row],[Brand Name]]," ",Table1[[#This Row],[Updated Product Name]])</f>
        <v>Adidas Sneakers</v>
      </c>
      <c r="N13" s="71"/>
      <c r="O13" s="13" t="s">
        <v>9</v>
      </c>
      <c r="P13" s="80" t="s">
        <v>119</v>
      </c>
    </row>
    <row r="14" spans="1:21" ht="15.75" customHeight="1" x14ac:dyDescent="0.25">
      <c r="A14" s="16" t="s">
        <v>63</v>
      </c>
      <c r="B14" s="14" t="s">
        <v>34</v>
      </c>
      <c r="C14" s="14" t="s">
        <v>64</v>
      </c>
      <c r="D14" s="33">
        <v>120</v>
      </c>
      <c r="E14" s="14">
        <v>35</v>
      </c>
      <c r="F14" s="47" t="s">
        <v>28</v>
      </c>
      <c r="G14" s="33">
        <f>IF(ISBLANK(Table1[[#This Row],[Price ($)]]),AVERAGE(Table1[Price ($)]),Table1[[#This Row],[Price ($)]])</f>
        <v>120</v>
      </c>
      <c r="H14" s="14" t="str">
        <f>PROPER(Table1[[#This Row],[Product Name]])</f>
        <v>Coffee Maker</v>
      </c>
      <c r="I14" s="66">
        <v>8</v>
      </c>
      <c r="J14" s="63" t="s">
        <v>153</v>
      </c>
      <c r="K14" s="44" t="s">
        <v>135</v>
      </c>
      <c r="L14" s="75">
        <f>DATEVALUE(Table1[[#This Row],[ Date]]&amp;"-"&amp;Table1[[#This Row],[Month]]&amp;"-2026")</f>
        <v>46364</v>
      </c>
      <c r="M14" s="46" t="str">
        <f>CONCATENATE(Table1[[#This Row],[Brand Name]]," ",Table1[[#This Row],[Updated Product Name]])</f>
        <v>Nespresso Coffee Maker</v>
      </c>
      <c r="N14" s="69"/>
    </row>
    <row r="15" spans="1:21" ht="15.75" customHeight="1" x14ac:dyDescent="0.25">
      <c r="A15" s="17" t="s">
        <v>65</v>
      </c>
      <c r="B15" s="15" t="s">
        <v>66</v>
      </c>
      <c r="C15" s="15" t="s">
        <v>67</v>
      </c>
      <c r="D15" s="34">
        <v>150</v>
      </c>
      <c r="E15" s="15">
        <v>15</v>
      </c>
      <c r="F15" s="15" t="s">
        <v>28</v>
      </c>
      <c r="G15" s="34">
        <f>IF(ISBLANK(Table1[[#This Row],[Price ($)]]),AVERAGE(Table1[Price ($)]),Table1[[#This Row],[Price ($)]])</f>
        <v>150</v>
      </c>
      <c r="H15" s="15" t="str">
        <f>PROPER(Table1[[#This Row],[Product Name]])</f>
        <v>Smartwatch</v>
      </c>
      <c r="I15" s="66">
        <v>18</v>
      </c>
      <c r="J15" s="63" t="s">
        <v>143</v>
      </c>
      <c r="K15" s="44" t="s">
        <v>136</v>
      </c>
      <c r="L15" s="75">
        <f>DATEVALUE(Table1[[#This Row],[ Date]]&amp;"-"&amp;Table1[[#This Row],[Month]]&amp;"-2026")</f>
        <v>46071</v>
      </c>
      <c r="M15" s="46" t="str">
        <f>CONCATENATE(Table1[[#This Row],[Brand Name]]," ",Table1[[#This Row],[Updated Product Name]])</f>
        <v>Fitbit Smartwatch</v>
      </c>
      <c r="N15" s="70"/>
      <c r="O15" s="73" t="s">
        <v>10</v>
      </c>
      <c r="P15" s="73"/>
    </row>
    <row r="16" spans="1:21" s="25" customFormat="1" ht="46.8" x14ac:dyDescent="0.25">
      <c r="A16" s="23" t="s">
        <v>68</v>
      </c>
      <c r="B16" s="24" t="s">
        <v>69</v>
      </c>
      <c r="C16" s="24" t="s">
        <v>70</v>
      </c>
      <c r="D16" s="35">
        <v>250</v>
      </c>
      <c r="E16" s="24">
        <v>20</v>
      </c>
      <c r="F16" s="24" t="s">
        <v>28</v>
      </c>
      <c r="G16" s="35">
        <f>IF(ISBLANK(Table1[[#This Row],[Price ($)]]),AVERAGE(Table1[Price ($)]),Table1[[#This Row],[Price ($)]])</f>
        <v>250</v>
      </c>
      <c r="H16" s="24" t="str">
        <f>PROPER(Table1[[#This Row],[Product Name]])</f>
        <v>Headphones</v>
      </c>
      <c r="I16" s="66">
        <v>16</v>
      </c>
      <c r="J16" s="63" t="s">
        <v>145</v>
      </c>
      <c r="K16" s="44" t="s">
        <v>137</v>
      </c>
      <c r="L16" s="75">
        <f>DATEVALUE(Table1[[#This Row],[ Date]]&amp;"-"&amp;Table1[[#This Row],[Month]]&amp;"-2026")</f>
        <v>46128</v>
      </c>
      <c r="M16" s="29" t="str">
        <f>CONCATENATE(Table1[[#This Row],[Brand Name]]," ",Table1[[#This Row],[Updated Product Name]])</f>
        <v>Bose Headphones</v>
      </c>
      <c r="N16" s="71"/>
      <c r="O16" s="13" t="s">
        <v>11</v>
      </c>
      <c r="P16" s="79" t="s">
        <v>158</v>
      </c>
    </row>
    <row r="17" spans="1:16" s="25" customFormat="1" ht="31.2" x14ac:dyDescent="0.25">
      <c r="A17" s="27" t="s">
        <v>71</v>
      </c>
      <c r="B17" s="28" t="s">
        <v>72</v>
      </c>
      <c r="C17" s="28" t="s">
        <v>73</v>
      </c>
      <c r="D17" s="36">
        <v>50</v>
      </c>
      <c r="E17" s="28">
        <v>35</v>
      </c>
      <c r="F17" s="28" t="s">
        <v>74</v>
      </c>
      <c r="G17" s="36">
        <f>IF(ISBLANK(Table1[[#This Row],[Price ($)]]),AVERAGE(Table1[Price ($)]),Table1[[#This Row],[Price ($)]])</f>
        <v>50</v>
      </c>
      <c r="H17" s="28" t="str">
        <f>PROPER(Table1[[#This Row],[Product Name]])</f>
        <v>Laptop Bag</v>
      </c>
      <c r="I17" s="66">
        <v>21</v>
      </c>
      <c r="J17" s="63" t="s">
        <v>149</v>
      </c>
      <c r="K17" s="44" t="s">
        <v>136</v>
      </c>
      <c r="L17" s="75">
        <f>DATEVALUE(Table1[[#This Row],[ Date]]&amp;"-"&amp;Table1[[#This Row],[Month]]&amp;"-2026")</f>
        <v>46255</v>
      </c>
      <c r="M17" s="29" t="str">
        <f>CONCATENATE(Table1[[#This Row],[Brand Name]]," ",Table1[[#This Row],[Updated Product Name]])</f>
        <v>Samsonite Laptop Bag</v>
      </c>
      <c r="N17" s="71"/>
      <c r="O17" s="13" t="s">
        <v>12</v>
      </c>
      <c r="P17" s="39" t="s">
        <v>159</v>
      </c>
    </row>
    <row r="18" spans="1:16" ht="15.75" customHeight="1" x14ac:dyDescent="0.25">
      <c r="A18" s="16" t="s">
        <v>75</v>
      </c>
      <c r="B18" s="14" t="s">
        <v>66</v>
      </c>
      <c r="C18" s="14" t="s">
        <v>76</v>
      </c>
      <c r="D18" s="33">
        <v>160</v>
      </c>
      <c r="E18" s="14">
        <v>15</v>
      </c>
      <c r="F18" s="14" t="s">
        <v>28</v>
      </c>
      <c r="G18" s="33">
        <f>IF(ISBLANK(Table1[[#This Row],[Price ($)]]),AVERAGE(Table1[Price ($)]),Table1[[#This Row],[Price ($)]])</f>
        <v>160</v>
      </c>
      <c r="H18" s="14" t="str">
        <f>PROPER(Table1[[#This Row],[Product Name]])</f>
        <v>Smartwatch</v>
      </c>
      <c r="I18" s="66">
        <v>20</v>
      </c>
      <c r="J18" s="63" t="s">
        <v>149</v>
      </c>
      <c r="K18" s="44" t="s">
        <v>138</v>
      </c>
      <c r="L18" s="75">
        <f>DATEVALUE(Table1[[#This Row],[ Date]]&amp;"-"&amp;Table1[[#This Row],[Month]]&amp;"-2026")</f>
        <v>46254</v>
      </c>
      <c r="M18" s="46" t="str">
        <f>CONCATENATE(Table1[[#This Row],[Brand Name]]," ",Table1[[#This Row],[Updated Product Name]])</f>
        <v>Huawei Smartwatch</v>
      </c>
      <c r="N18" s="69"/>
    </row>
    <row r="19" spans="1:16" ht="15.75" customHeight="1" x14ac:dyDescent="0.25">
      <c r="A19" s="17" t="s">
        <v>77</v>
      </c>
      <c r="B19" s="15" t="s">
        <v>26</v>
      </c>
      <c r="C19" s="15" t="s">
        <v>78</v>
      </c>
      <c r="D19" s="34">
        <v>980</v>
      </c>
      <c r="E19" s="15">
        <v>10</v>
      </c>
      <c r="F19" s="15" t="s">
        <v>28</v>
      </c>
      <c r="G19" s="34">
        <f>IF(ISBLANK(Table1[[#This Row],[Price ($)]]),AVERAGE(Table1[Price ($)]),Table1[[#This Row],[Price ($)]])</f>
        <v>980</v>
      </c>
      <c r="H19" s="15" t="str">
        <f>PROPER(Table1[[#This Row],[Product Name]])</f>
        <v>Laptop</v>
      </c>
      <c r="I19" s="66">
        <v>27</v>
      </c>
      <c r="J19" s="63" t="s">
        <v>122</v>
      </c>
      <c r="K19" s="44" t="s">
        <v>139</v>
      </c>
      <c r="L19" s="75">
        <f>DATEVALUE(Table1[[#This Row],[ Date]]&amp;"-"&amp;Table1[[#This Row],[Month]]&amp;"-2026")</f>
        <v>46049</v>
      </c>
      <c r="M19" s="46" t="str">
        <f>CONCATENATE(Table1[[#This Row],[Brand Name]]," ",Table1[[#This Row],[Updated Product Name]])</f>
        <v>Asus Laptop</v>
      </c>
      <c r="N19" s="70"/>
      <c r="O19" s="73" t="s">
        <v>13</v>
      </c>
      <c r="P19" s="73"/>
    </row>
    <row r="20" spans="1:16" ht="15.6" x14ac:dyDescent="0.25">
      <c r="A20" s="16" t="s">
        <v>79</v>
      </c>
      <c r="B20" s="14" t="s">
        <v>80</v>
      </c>
      <c r="C20" s="14" t="s">
        <v>81</v>
      </c>
      <c r="D20" s="33">
        <v>150</v>
      </c>
      <c r="E20" s="14">
        <v>15</v>
      </c>
      <c r="F20" s="14" t="s">
        <v>32</v>
      </c>
      <c r="G20" s="33">
        <f>IF(ISBLANK(Table1[[#This Row],[Price ($)]]),AVERAGE(Table1[Price ($)]),Table1[[#This Row],[Price ($)]])</f>
        <v>150</v>
      </c>
      <c r="H20" s="14" t="str">
        <f>PROPER(Table1[[#This Row],[Product Name]])</f>
        <v>Sunglasses</v>
      </c>
      <c r="I20" s="66">
        <v>1</v>
      </c>
      <c r="J20" s="63" t="s">
        <v>144</v>
      </c>
      <c r="K20" s="44" t="s">
        <v>132</v>
      </c>
      <c r="L20" s="75">
        <f>DATEVALUE(Table1[[#This Row],[ Date]]&amp;"-"&amp;Table1[[#This Row],[Month]]&amp;"-2026")</f>
        <v>46082</v>
      </c>
      <c r="M20" s="46" t="str">
        <f>CONCATENATE(Table1[[#This Row],[Brand Name]]," ",Table1[[#This Row],[Updated Product Name]])</f>
        <v>Oakley Sunglasses</v>
      </c>
      <c r="N20" s="70"/>
      <c r="O20" s="13" t="s">
        <v>14</v>
      </c>
      <c r="P20" s="30" t="s">
        <v>120</v>
      </c>
    </row>
    <row r="21" spans="1:16" s="25" customFormat="1" ht="31.2" x14ac:dyDescent="0.25">
      <c r="A21" s="27" t="s">
        <v>82</v>
      </c>
      <c r="B21" s="28" t="s">
        <v>83</v>
      </c>
      <c r="C21" s="28" t="s">
        <v>84</v>
      </c>
      <c r="D21" s="36"/>
      <c r="E21" s="28">
        <v>10</v>
      </c>
      <c r="F21" s="28" t="s">
        <v>58</v>
      </c>
      <c r="G21" s="61">
        <f>IF(ISBLANK(Table1[[#This Row],[Price ($)]]),AVERAGE(Table1[Price ($)]),Table1[[#This Row],[Price ($)]])</f>
        <v>297.85714285714283</v>
      </c>
      <c r="H21" s="28" t="str">
        <f>PROPER(Table1[[#This Row],[Product Name]])</f>
        <v>Camping Tent</v>
      </c>
      <c r="I21" s="66">
        <v>14</v>
      </c>
      <c r="J21" s="63" t="s">
        <v>149</v>
      </c>
      <c r="K21" s="44" t="s">
        <v>123</v>
      </c>
      <c r="L21" s="75">
        <f>DATEVALUE(Table1[[#This Row],[ Date]]&amp;"-"&amp;Table1[[#This Row],[Month]]&amp;"-2026")</f>
        <v>46248</v>
      </c>
      <c r="M21" s="29" t="str">
        <f>CONCATENATE(Table1[[#This Row],[Brand Name]]," ",Table1[[#This Row],[Updated Product Name]])</f>
        <v>Coleman Camping Tent</v>
      </c>
      <c r="N21" s="71"/>
      <c r="O21" s="13" t="s">
        <v>15</v>
      </c>
      <c r="P21" s="39" t="s">
        <v>156</v>
      </c>
    </row>
    <row r="22" spans="1:16" ht="15.75" customHeight="1" x14ac:dyDescent="0.25">
      <c r="A22" s="16" t="s">
        <v>85</v>
      </c>
      <c r="B22" s="14" t="s">
        <v>86</v>
      </c>
      <c r="C22" s="14" t="s">
        <v>87</v>
      </c>
      <c r="D22" s="33">
        <v>700</v>
      </c>
      <c r="E22" s="14">
        <v>50</v>
      </c>
      <c r="F22" s="14" t="s">
        <v>28</v>
      </c>
      <c r="G22" s="33">
        <f>IF(ISBLANK(Table1[[#This Row],[Price ($)]]),AVERAGE(Table1[Price ($)]),Table1[[#This Row],[Price ($)]])</f>
        <v>700</v>
      </c>
      <c r="H22" s="14" t="str">
        <f>PROPER(Table1[[#This Row],[Product Name]])</f>
        <v>Camera</v>
      </c>
      <c r="I22" s="66">
        <v>14</v>
      </c>
      <c r="J22" s="63" t="s">
        <v>146</v>
      </c>
      <c r="K22" s="44" t="s">
        <v>140</v>
      </c>
      <c r="L22" s="75">
        <f>DATEVALUE(Table1[[#This Row],[ Date]]&amp;"-"&amp;Table1[[#This Row],[Month]]&amp;"-2026")</f>
        <v>46156</v>
      </c>
      <c r="M22" s="46" t="str">
        <f>CONCATENATE(Table1[[#This Row],[Brand Name]]," ",Table1[[#This Row],[Updated Product Name]])</f>
        <v>Nikon Camera</v>
      </c>
      <c r="N22" s="69"/>
    </row>
    <row r="23" spans="1:16" ht="15.75" customHeight="1" x14ac:dyDescent="0.25">
      <c r="A23" s="17" t="s">
        <v>88</v>
      </c>
      <c r="B23" s="15" t="s">
        <v>89</v>
      </c>
      <c r="C23" s="15" t="s">
        <v>90</v>
      </c>
      <c r="D23" s="34">
        <v>80</v>
      </c>
      <c r="E23" s="15">
        <v>20</v>
      </c>
      <c r="F23" s="15" t="s">
        <v>36</v>
      </c>
      <c r="G23" s="34">
        <f>IF(ISBLANK(Table1[[#This Row],[Price ($)]]),AVERAGE(Table1[Price ($)]),Table1[[#This Row],[Price ($)]])</f>
        <v>80</v>
      </c>
      <c r="H23" s="15" t="str">
        <f>PROPER(Table1[[#This Row],[Product Name]])</f>
        <v>Microwave</v>
      </c>
      <c r="I23" s="66">
        <v>9</v>
      </c>
      <c r="J23" s="63" t="s">
        <v>122</v>
      </c>
      <c r="K23" s="44" t="s">
        <v>136</v>
      </c>
      <c r="L23" s="75">
        <f>DATEVALUE(Table1[[#This Row],[ Date]]&amp;"-"&amp;Table1[[#This Row],[Month]]&amp;"-2026")</f>
        <v>46031</v>
      </c>
      <c r="M23" s="46" t="str">
        <f>CONCATENATE(Table1[[#This Row],[Brand Name]]," ",Table1[[#This Row],[Updated Product Name]])</f>
        <v>Panasonic Microwave</v>
      </c>
      <c r="N23" s="70"/>
      <c r="O23" s="73" t="s">
        <v>16</v>
      </c>
      <c r="P23" s="73"/>
    </row>
    <row r="24" spans="1:16" s="25" customFormat="1" ht="31.2" x14ac:dyDescent="0.25">
      <c r="A24" s="23" t="s">
        <v>91</v>
      </c>
      <c r="B24" s="24" t="s">
        <v>92</v>
      </c>
      <c r="C24" s="24" t="s">
        <v>93</v>
      </c>
      <c r="D24" s="35">
        <v>150</v>
      </c>
      <c r="E24" s="24">
        <v>30</v>
      </c>
      <c r="F24" s="49" t="s">
        <v>28</v>
      </c>
      <c r="G24" s="35">
        <f>IF(ISBLANK(Table1[[#This Row],[Price ($)]]),AVERAGE(Table1[Price ($)]),Table1[[#This Row],[Price ($)]])</f>
        <v>150</v>
      </c>
      <c r="H24" s="24" t="str">
        <f>PROPER(Table1[[#This Row],[Product Name]])</f>
        <v>Fitness Tracker</v>
      </c>
      <c r="I24" s="66">
        <v>19</v>
      </c>
      <c r="J24" s="63" t="s">
        <v>148</v>
      </c>
      <c r="K24" s="44" t="s">
        <v>141</v>
      </c>
      <c r="L24" s="75">
        <f>DATEVALUE(Table1[[#This Row],[ Date]]&amp;"-"&amp;Table1[[#This Row],[Month]]&amp;"-2026")</f>
        <v>46222</v>
      </c>
      <c r="M24" s="29" t="str">
        <f>CONCATENATE(Table1[[#This Row],[Brand Name]]," ",Table1[[#This Row],[Updated Product Name]])</f>
        <v>Xiaomi Fitness Tracker</v>
      </c>
      <c r="N24" s="71"/>
      <c r="O24" s="13" t="s">
        <v>17</v>
      </c>
      <c r="P24" s="53" t="s">
        <v>160</v>
      </c>
    </row>
    <row r="25" spans="1:16" s="25" customFormat="1" ht="46.8" x14ac:dyDescent="0.25">
      <c r="A25" s="54" t="s">
        <v>94</v>
      </c>
      <c r="B25" s="55" t="s">
        <v>95</v>
      </c>
      <c r="C25" s="55" t="s">
        <v>96</v>
      </c>
      <c r="D25" s="56">
        <v>800</v>
      </c>
      <c r="E25" s="55">
        <v>45</v>
      </c>
      <c r="F25" s="55" t="s">
        <v>28</v>
      </c>
      <c r="G25" s="56">
        <f>IF(ISBLANK(Table1[[#This Row],[Price ($)]]),AVERAGE(Table1[Price ($)]),Table1[[#This Row],[Price ($)]])</f>
        <v>800</v>
      </c>
      <c r="H25" s="37" t="str">
        <f>PROPER(Table1[[#This Row],[Product Name]])</f>
        <v>Smartphone</v>
      </c>
      <c r="I25" s="66">
        <v>29</v>
      </c>
      <c r="J25" s="63" t="s">
        <v>150</v>
      </c>
      <c r="K25" s="44" t="s">
        <v>136</v>
      </c>
      <c r="L25" s="75">
        <f>DATEVALUE(Table1[[#This Row],[ Date]]&amp;"-"&amp;Table1[[#This Row],[Month]]&amp;"-2026")</f>
        <v>46294</v>
      </c>
      <c r="M25" s="29" t="str">
        <f>CONCATENATE(Table1[[#This Row],[Brand Name]]," ",Table1[[#This Row],[Updated Product Name]])</f>
        <v>Google Smartphone</v>
      </c>
      <c r="N25" s="71"/>
      <c r="O25" s="13" t="s">
        <v>18</v>
      </c>
      <c r="P25" s="39" t="s">
        <v>161</v>
      </c>
    </row>
    <row r="26" spans="1:16" ht="15.75" customHeight="1" x14ac:dyDescent="0.25">
      <c r="A26" s="17" t="s">
        <v>97</v>
      </c>
      <c r="B26" s="15" t="s">
        <v>80</v>
      </c>
      <c r="C26" s="15" t="s">
        <v>98</v>
      </c>
      <c r="D26" s="34"/>
      <c r="E26" s="15">
        <v>25</v>
      </c>
      <c r="F26" s="15" t="s">
        <v>32</v>
      </c>
      <c r="G26" s="60">
        <f>IF(ISBLANK(Table1[[#This Row],[Price ($)]]),AVERAGE(Table1[Price ($)]),Table1[[#This Row],[Price ($)]])</f>
        <v>297.85714285714283</v>
      </c>
      <c r="H26" s="15" t="str">
        <f>PROPER(Table1[[#This Row],[Product Name]])</f>
        <v>Sunglasses</v>
      </c>
      <c r="I26" s="66">
        <v>3</v>
      </c>
      <c r="J26" s="63" t="s">
        <v>147</v>
      </c>
      <c r="K26" s="44" t="s">
        <v>136</v>
      </c>
      <c r="L26" s="75">
        <f>DATEVALUE(Table1[[#This Row],[ Date]]&amp;"-"&amp;Table1[[#This Row],[Month]]&amp;"-2026")</f>
        <v>46176</v>
      </c>
      <c r="M26" s="46" t="str">
        <f>CONCATENATE(Table1[[#This Row],[Brand Name]]," ",Table1[[#This Row],[Updated Product Name]])</f>
        <v>Ray-Ban Sunglasses</v>
      </c>
      <c r="N26" s="69"/>
    </row>
    <row r="27" spans="1:16" ht="15.75" customHeight="1" x14ac:dyDescent="0.25">
      <c r="A27" s="57" t="s">
        <v>99</v>
      </c>
      <c r="B27" s="58" t="s">
        <v>50</v>
      </c>
      <c r="C27" s="58" t="s">
        <v>100</v>
      </c>
      <c r="D27" s="59">
        <v>400</v>
      </c>
      <c r="E27" s="58">
        <v>40</v>
      </c>
      <c r="F27" s="58" t="s">
        <v>36</v>
      </c>
      <c r="G27" s="59">
        <f>IF(ISBLANK(Table1[[#This Row],[Price ($)]]),AVERAGE(Table1[Price ($)]),Table1[[#This Row],[Price ($)]])</f>
        <v>400</v>
      </c>
      <c r="H27" s="37" t="str">
        <f>PROPER(Table1[[#This Row],[Product Name]])</f>
        <v>Blender</v>
      </c>
      <c r="I27" s="66">
        <v>11</v>
      </c>
      <c r="J27" s="63" t="s">
        <v>148</v>
      </c>
      <c r="K27" s="44" t="s">
        <v>136</v>
      </c>
      <c r="L27" s="75">
        <f>DATEVALUE(Table1[[#This Row],[ Date]]&amp;"-"&amp;Table1[[#This Row],[Month]]&amp;"-2026")</f>
        <v>46214</v>
      </c>
      <c r="M27" s="46" t="str">
        <f>CONCATENATE(Table1[[#This Row],[Brand Name]]," ",Table1[[#This Row],[Updated Product Name]])</f>
        <v>Vitamix Blender</v>
      </c>
      <c r="N27" s="69"/>
    </row>
    <row r="28" spans="1:16" ht="15.75" customHeight="1" x14ac:dyDescent="0.25">
      <c r="A28" s="16" t="s">
        <v>101</v>
      </c>
      <c r="B28" s="14" t="s">
        <v>102</v>
      </c>
      <c r="C28" s="14" t="s">
        <v>103</v>
      </c>
      <c r="D28" s="33">
        <v>60</v>
      </c>
      <c r="E28" s="14">
        <v>30</v>
      </c>
      <c r="F28" s="14" t="s">
        <v>32</v>
      </c>
      <c r="G28" s="33">
        <f>IF(ISBLANK(Table1[[#This Row],[Price ($)]]),AVERAGE(Table1[Price ($)]),Table1[[#This Row],[Price ($)]])</f>
        <v>60</v>
      </c>
      <c r="H28" s="14" t="str">
        <f>PROPER(Table1[[#This Row],[Product Name]])</f>
        <v>Dress</v>
      </c>
      <c r="I28" s="66">
        <v>7</v>
      </c>
      <c r="J28" s="63" t="s">
        <v>144</v>
      </c>
      <c r="K28" s="44" t="s">
        <v>136</v>
      </c>
      <c r="L28" s="75">
        <f>DATEVALUE(Table1[[#This Row],[ Date]]&amp;"-"&amp;Table1[[#This Row],[Month]]&amp;"-2026")</f>
        <v>46088</v>
      </c>
      <c r="M28" s="46" t="str">
        <f>CONCATENATE(Table1[[#This Row],[Brand Name]]," ",Table1[[#This Row],[Updated Product Name]])</f>
        <v>Zara Dress</v>
      </c>
      <c r="N28" s="69"/>
    </row>
    <row r="29" spans="1:16" ht="15.75" customHeight="1" x14ac:dyDescent="0.25">
      <c r="A29" s="17" t="s">
        <v>104</v>
      </c>
      <c r="B29" s="15" t="s">
        <v>105</v>
      </c>
      <c r="C29" s="15" t="s">
        <v>106</v>
      </c>
      <c r="D29" s="34">
        <v>40</v>
      </c>
      <c r="E29" s="15">
        <v>10</v>
      </c>
      <c r="F29" s="15" t="s">
        <v>36</v>
      </c>
      <c r="G29" s="34">
        <f>IF(ISBLANK(Table1[[#This Row],[Price ($)]]),AVERAGE(Table1[Price ($)]),Table1[[#This Row],[Price ($)]])</f>
        <v>40</v>
      </c>
      <c r="H29" s="15" t="str">
        <f>PROPER(Table1[[#This Row],[Product Name]])</f>
        <v>Toaster</v>
      </c>
      <c r="I29" s="66">
        <v>13</v>
      </c>
      <c r="J29" s="63" t="s">
        <v>145</v>
      </c>
      <c r="K29" s="44" t="s">
        <v>136</v>
      </c>
      <c r="L29" s="75">
        <f>DATEVALUE(Table1[[#This Row],[ Date]]&amp;"-"&amp;Table1[[#This Row],[Month]]&amp;"-2026")</f>
        <v>46125</v>
      </c>
      <c r="M29" s="46" t="str">
        <f>CONCATENATE(Table1[[#This Row],[Brand Name]]," ",Table1[[#This Row],[Updated Product Name]])</f>
        <v>Hamilton Toaster</v>
      </c>
      <c r="N29" s="69"/>
    </row>
    <row r="30" spans="1:16" ht="15.75" customHeight="1" x14ac:dyDescent="0.25">
      <c r="A30" s="16" t="s">
        <v>107</v>
      </c>
      <c r="B30" s="14" t="s">
        <v>92</v>
      </c>
      <c r="C30" s="14" t="s">
        <v>108</v>
      </c>
      <c r="D30" s="33">
        <v>130</v>
      </c>
      <c r="E30" s="14">
        <v>5</v>
      </c>
      <c r="F30" s="14" t="s">
        <v>28</v>
      </c>
      <c r="G30" s="33">
        <f>IF(ISBLANK(Table1[[#This Row],[Price ($)]]),AVERAGE(Table1[Price ($)]),Table1[[#This Row],[Price ($)]])</f>
        <v>130</v>
      </c>
      <c r="H30" s="14" t="str">
        <f>PROPER(Table1[[#This Row],[Product Name]])</f>
        <v>Fitness Tracker</v>
      </c>
      <c r="I30" s="66">
        <v>24</v>
      </c>
      <c r="J30" s="63" t="s">
        <v>146</v>
      </c>
      <c r="K30" s="44" t="s">
        <v>136</v>
      </c>
      <c r="L30" s="75">
        <f>DATEVALUE(Table1[[#This Row],[ Date]]&amp;"-"&amp;Table1[[#This Row],[Month]]&amp;"-2026")</f>
        <v>46166</v>
      </c>
      <c r="M30" s="46" t="str">
        <f>CONCATENATE(Table1[[#This Row],[Brand Name]]," ",Table1[[#This Row],[Updated Product Name]])</f>
        <v>Garmin Fitness Tracker</v>
      </c>
      <c r="N30" s="69"/>
    </row>
    <row r="31" spans="1:16" ht="15.75" customHeight="1" x14ac:dyDescent="0.25">
      <c r="A31" s="17" t="s">
        <v>109</v>
      </c>
      <c r="B31" s="15" t="s">
        <v>110</v>
      </c>
      <c r="C31" s="15" t="s">
        <v>111</v>
      </c>
      <c r="D31" s="34">
        <v>50</v>
      </c>
      <c r="E31" s="15">
        <v>50</v>
      </c>
      <c r="F31" s="15" t="s">
        <v>32</v>
      </c>
      <c r="G31" s="34">
        <f>IF(ISBLANK(Table1[[#This Row],[Price ($)]]),AVERAGE(Table1[Price ($)]),Table1[[#This Row],[Price ($)]])</f>
        <v>50</v>
      </c>
      <c r="H31" s="15" t="str">
        <f>PROPER(Table1[[#This Row],[Product Name]])</f>
        <v>Jeans</v>
      </c>
      <c r="I31" s="66">
        <v>2</v>
      </c>
      <c r="J31" s="63" t="s">
        <v>153</v>
      </c>
      <c r="K31" s="44" t="s">
        <v>136</v>
      </c>
      <c r="L31" s="75">
        <f>DATEVALUE(Table1[[#This Row],[ Date]]&amp;"-"&amp;Table1[[#This Row],[Month]]&amp;"-2026")</f>
        <v>46358</v>
      </c>
      <c r="M31" s="46" t="str">
        <f>CONCATENATE(Table1[[#This Row],[Brand Name]]," ",Table1[[#This Row],[Updated Product Name]])</f>
        <v>Levi's Jeans</v>
      </c>
      <c r="N31" s="69"/>
    </row>
    <row r="32" spans="1:16" ht="15.75" customHeight="1" x14ac:dyDescent="0.25">
      <c r="A32" s="21" t="s">
        <v>112</v>
      </c>
      <c r="B32" s="22" t="s">
        <v>113</v>
      </c>
      <c r="C32" s="22" t="s">
        <v>114</v>
      </c>
      <c r="D32" s="50">
        <v>100</v>
      </c>
      <c r="E32" s="22">
        <v>20</v>
      </c>
      <c r="F32" s="22" t="s">
        <v>74</v>
      </c>
      <c r="G32" s="50">
        <f>IF(ISBLANK(Table1[[#This Row],[Price ($)]]),AVERAGE(Table1[Price ($)]),Table1[[#This Row],[Price ($)]])</f>
        <v>100</v>
      </c>
      <c r="H32" s="22" t="str">
        <f>PROPER(Table1[[#This Row],[Product Name]])</f>
        <v>Watch</v>
      </c>
      <c r="I32" s="66">
        <v>9</v>
      </c>
      <c r="J32" s="64" t="s">
        <v>148</v>
      </c>
      <c r="K32" s="51" t="s">
        <v>142</v>
      </c>
      <c r="L32" s="76">
        <f>DATEVALUE(Table1[[#This Row],[ Date]]&amp;"-"&amp;Table1[[#This Row],[Month]]&amp;"-2026")</f>
        <v>46212</v>
      </c>
      <c r="M32" s="52" t="str">
        <f>CONCATENATE(Table1[[#This Row],[Brand Name]]," ",Table1[[#This Row],[Updated Product Name]])</f>
        <v>Casio Watch</v>
      </c>
      <c r="N32" s="69"/>
    </row>
    <row r="33" spans="11:14" ht="15.75" customHeight="1" x14ac:dyDescent="0.25">
      <c r="K33" s="32"/>
      <c r="L33" s="77"/>
      <c r="M33" s="32"/>
      <c r="N33" s="69"/>
    </row>
    <row r="34" spans="11:14" ht="15.75" customHeight="1" x14ac:dyDescent="0.25">
      <c r="K34" s="32"/>
      <c r="L34" s="77"/>
      <c r="M34" s="32"/>
      <c r="N34" s="69"/>
    </row>
    <row r="35" spans="11:14" ht="15.75" customHeight="1" x14ac:dyDescent="0.25">
      <c r="K35" s="32"/>
      <c r="L35" s="77"/>
      <c r="M35" s="32"/>
      <c r="N35" s="69"/>
    </row>
    <row r="36" spans="11:14" ht="15.75" customHeight="1" x14ac:dyDescent="0.25"/>
    <row r="37" spans="11:14" ht="15.75" customHeight="1" x14ac:dyDescent="0.25"/>
    <row r="38" spans="11:14" ht="15.75" customHeight="1" x14ac:dyDescent="0.25"/>
    <row r="39" spans="11:14" ht="15.75" customHeight="1" x14ac:dyDescent="0.25"/>
    <row r="40" spans="11:14" ht="15.75" customHeight="1" x14ac:dyDescent="0.25"/>
    <row r="41" spans="11:14" ht="15.75" customHeight="1" x14ac:dyDescent="0.25"/>
    <row r="42" spans="11:14" ht="15.75" customHeight="1" x14ac:dyDescent="0.25"/>
    <row r="43" spans="11:14" ht="15.75" customHeight="1" x14ac:dyDescent="0.25"/>
    <row r="44" spans="11:14" ht="15.75" customHeight="1" x14ac:dyDescent="0.25"/>
    <row r="45" spans="11:14" ht="15.75" customHeight="1" x14ac:dyDescent="0.25"/>
    <row r="46" spans="11:14" ht="15.75" customHeight="1" x14ac:dyDescent="0.25"/>
    <row r="47" spans="11:14" ht="15.75" customHeight="1" x14ac:dyDescent="0.25"/>
    <row r="48" spans="1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O23:P23"/>
    <mergeCell ref="O3:P3"/>
    <mergeCell ref="O7:P7"/>
    <mergeCell ref="O12:P12"/>
    <mergeCell ref="O15:P15"/>
    <mergeCell ref="O19:P19"/>
  </mergeCells>
  <phoneticPr fontId="14" type="noConversion"/>
  <conditionalFormatting sqref="F1:F1048576">
    <cfRule type="containsText" dxfId="4" priority="1" operator="containsText" text="Electronics">
      <formula>NOT(ISERROR(SEARCH("Electronics",F1)))</formula>
    </cfRule>
  </conditionalFormatting>
  <conditionalFormatting sqref="G1:G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{DAF359E6-FEA6-45A1-A8A0-030BF53A9387}</x14:id>
        </ext>
      </extLst>
    </cfRule>
  </conditionalFormatting>
  <dataValidations count="1">
    <dataValidation type="list" allowBlank="1" showInputMessage="1" showErrorMessage="1" sqref="F6 F13:F14 F24" xr:uid="{25D88E23-1CED-4250-A694-1D9E02586ABF}">
      <formula1>"Fashion,Electronics,Kitchen,Outdoor,Accessories"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F359E6-FEA6-45A1-A8A0-030BF53A93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4CC9-B936-413B-B6E5-BEA05960915B}">
  <dimension ref="A1:K35"/>
  <sheetViews>
    <sheetView workbookViewId="0">
      <selection activeCell="H17" sqref="H17"/>
    </sheetView>
  </sheetViews>
  <sheetFormatPr defaultRowHeight="13.2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23.21875" style="65" bestFit="1" customWidth="1"/>
    <col min="8" max="8" width="23.21875" style="65" customWidth="1"/>
    <col min="9" max="9" width="17.77734375" bestFit="1" customWidth="1"/>
    <col min="10" max="10" width="23.6640625" style="78" bestFit="1" customWidth="1"/>
    <col min="11" max="11" width="21.44140625" bestFit="1" customWidth="1"/>
  </cols>
  <sheetData>
    <row r="1" spans="1:11" x14ac:dyDescent="0.25">
      <c r="A1" s="18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67" t="s">
        <v>155</v>
      </c>
      <c r="H1" s="67" t="s">
        <v>154</v>
      </c>
      <c r="I1" s="43" t="s">
        <v>118</v>
      </c>
      <c r="J1" s="74" t="s">
        <v>121</v>
      </c>
      <c r="K1" s="20" t="s">
        <v>130</v>
      </c>
    </row>
    <row r="2" spans="1:11" x14ac:dyDescent="0.25">
      <c r="A2" s="62" t="s">
        <v>25</v>
      </c>
      <c r="B2" s="14" t="s">
        <v>60</v>
      </c>
      <c r="C2" s="14" t="s">
        <v>27</v>
      </c>
      <c r="D2" s="33">
        <v>1000</v>
      </c>
      <c r="E2" s="14">
        <v>30</v>
      </c>
      <c r="F2" s="14" t="s">
        <v>28</v>
      </c>
      <c r="G2" s="66">
        <v>28</v>
      </c>
      <c r="H2" s="63" t="s">
        <v>122</v>
      </c>
      <c r="I2" s="44" t="s">
        <v>123</v>
      </c>
      <c r="J2" s="75">
        <f>DATEVALUE(Table14[[#This Row],[ Date]]&amp;"-"&amp;Table14[[#This Row],[Month]]&amp;"-2026")</f>
        <v>46050</v>
      </c>
      <c r="K2" s="46" t="str">
        <f>CONCATENATE(Table14[[#This Row],[Brand Name]]," ",Table14[[#This Row],[Product Name]])</f>
        <v>Dell Laptop</v>
      </c>
    </row>
    <row r="3" spans="1:11" x14ac:dyDescent="0.25">
      <c r="A3" s="17" t="s">
        <v>29</v>
      </c>
      <c r="B3" s="15" t="s">
        <v>30</v>
      </c>
      <c r="C3" s="15" t="s">
        <v>31</v>
      </c>
      <c r="D3" s="34">
        <v>80</v>
      </c>
      <c r="E3" s="15">
        <v>15</v>
      </c>
      <c r="F3" s="15" t="s">
        <v>32</v>
      </c>
      <c r="G3" s="66">
        <v>15</v>
      </c>
      <c r="H3" s="63" t="s">
        <v>143</v>
      </c>
      <c r="I3" s="44" t="s">
        <v>123</v>
      </c>
      <c r="J3" s="75">
        <f>DATEVALUE(Table14[[#This Row],[ Date]]&amp;"-"&amp;Table14[[#This Row],[Month]]&amp;"-2026")</f>
        <v>46068</v>
      </c>
      <c r="K3" s="46" t="str">
        <f>CONCATENATE(Table14[[#This Row],[Brand Name]]," ",Table14[[#This Row],[Product Name]])</f>
        <v>Nike Sneakers</v>
      </c>
    </row>
    <row r="4" spans="1:11" x14ac:dyDescent="0.25">
      <c r="A4" s="23" t="s">
        <v>33</v>
      </c>
      <c r="B4" s="24" t="s">
        <v>34</v>
      </c>
      <c r="C4" s="24" t="s">
        <v>35</v>
      </c>
      <c r="D4" s="35">
        <v>130</v>
      </c>
      <c r="E4" s="24">
        <v>40</v>
      </c>
      <c r="F4" s="24" t="s">
        <v>36</v>
      </c>
      <c r="G4" s="66">
        <v>3</v>
      </c>
      <c r="H4" s="63" t="s">
        <v>144</v>
      </c>
      <c r="I4" s="44" t="s">
        <v>123</v>
      </c>
      <c r="J4" s="75">
        <f>DATEVALUE(Table14[[#This Row],[ Date]]&amp;"-"&amp;Table14[[#This Row],[Month]]&amp;"-2026")</f>
        <v>46084</v>
      </c>
      <c r="K4" s="29" t="str">
        <f>CONCATENATE(Table14[[#This Row],[Brand Name]]," ",Table14[[#This Row],[Product Name]])</f>
        <v>Keurig Coffee Maker</v>
      </c>
    </row>
    <row r="5" spans="1:11" x14ac:dyDescent="0.25">
      <c r="A5" s="27" t="s">
        <v>37</v>
      </c>
      <c r="B5" s="28" t="s">
        <v>95</v>
      </c>
      <c r="C5" s="28" t="s">
        <v>39</v>
      </c>
      <c r="D5" s="36">
        <v>900</v>
      </c>
      <c r="E5" s="28">
        <v>25</v>
      </c>
      <c r="F5" s="28" t="s">
        <v>28</v>
      </c>
      <c r="G5" s="66">
        <v>11</v>
      </c>
      <c r="H5" s="63" t="s">
        <v>145</v>
      </c>
      <c r="I5" s="44" t="s">
        <v>123</v>
      </c>
      <c r="J5" s="75">
        <f>DATEVALUE(Table14[[#This Row],[ Date]]&amp;"-"&amp;Table14[[#This Row],[Month]]&amp;"-2026")</f>
        <v>46123</v>
      </c>
      <c r="K5" s="29" t="str">
        <f>CONCATENATE(Table14[[#This Row],[Brand Name]]," ",Table14[[#This Row],[Product Name]])</f>
        <v>Samsung Smartphone</v>
      </c>
    </row>
    <row r="6" spans="1:11" x14ac:dyDescent="0.25">
      <c r="A6" s="16" t="s">
        <v>40</v>
      </c>
      <c r="B6" s="14" t="s">
        <v>41</v>
      </c>
      <c r="C6" s="14" t="s">
        <v>42</v>
      </c>
      <c r="D6" s="33">
        <v>70</v>
      </c>
      <c r="E6" s="14">
        <v>20</v>
      </c>
      <c r="F6" s="47" t="s">
        <v>32</v>
      </c>
      <c r="G6" s="66">
        <v>22</v>
      </c>
      <c r="H6" s="63" t="s">
        <v>146</v>
      </c>
      <c r="I6" s="44" t="s">
        <v>123</v>
      </c>
      <c r="J6" s="75">
        <f>DATEVALUE(Table14[[#This Row],[ Date]]&amp;"-"&amp;Table14[[#This Row],[Month]]&amp;"-2026")</f>
        <v>46164</v>
      </c>
      <c r="K6" s="46" t="str">
        <f>CONCATENATE(Table14[[#This Row],[Brand Name]]," ",Table14[[#This Row],[Product Name]])</f>
        <v>North Face Backpack</v>
      </c>
    </row>
    <row r="7" spans="1:11" x14ac:dyDescent="0.25">
      <c r="A7" s="17" t="s">
        <v>43</v>
      </c>
      <c r="B7" s="15" t="s">
        <v>44</v>
      </c>
      <c r="C7" s="15" t="s">
        <v>45</v>
      </c>
      <c r="D7" s="60">
        <v>297.85714285714283</v>
      </c>
      <c r="E7" s="15">
        <v>45</v>
      </c>
      <c r="F7" s="15" t="s">
        <v>28</v>
      </c>
      <c r="G7" s="66">
        <v>7</v>
      </c>
      <c r="H7" s="63" t="s">
        <v>147</v>
      </c>
      <c r="I7" s="44" t="s">
        <v>132</v>
      </c>
      <c r="J7" s="75">
        <f>DATEVALUE(Table14[[#This Row],[ Date]]&amp;"-"&amp;Table14[[#This Row],[Month]]&amp;"-2026")</f>
        <v>46180</v>
      </c>
      <c r="K7" s="46" t="str">
        <f>CONCATENATE(Table14[[#This Row],[Brand Name]]," ",Table14[[#This Row],[Product Name]])</f>
        <v>Sony Headphones</v>
      </c>
    </row>
    <row r="8" spans="1:11" x14ac:dyDescent="0.25">
      <c r="A8" s="23" t="s">
        <v>46</v>
      </c>
      <c r="B8" s="24" t="s">
        <v>157</v>
      </c>
      <c r="C8" s="24" t="s">
        <v>48</v>
      </c>
      <c r="D8" s="35">
        <v>30</v>
      </c>
      <c r="E8" s="24">
        <v>5</v>
      </c>
      <c r="F8" s="24" t="s">
        <v>32</v>
      </c>
      <c r="G8" s="66">
        <v>19</v>
      </c>
      <c r="H8" s="63" t="s">
        <v>148</v>
      </c>
      <c r="I8" s="44" t="s">
        <v>132</v>
      </c>
      <c r="J8" s="75">
        <f>DATEVALUE(Table14[[#This Row],[ Date]]&amp;"-"&amp;Table14[[#This Row],[Month]]&amp;"-2026")</f>
        <v>46222</v>
      </c>
      <c r="K8" s="29" t="str">
        <f>CONCATENATE(Table14[[#This Row],[Brand Name]]," ",Table14[[#This Row],[Product Name]])</f>
        <v>Adidas T-Shirt</v>
      </c>
    </row>
    <row r="9" spans="1:11" x14ac:dyDescent="0.25">
      <c r="A9" s="17" t="s">
        <v>49</v>
      </c>
      <c r="B9" s="15" t="s">
        <v>50</v>
      </c>
      <c r="C9" s="15" t="s">
        <v>51</v>
      </c>
      <c r="D9" s="34">
        <v>90</v>
      </c>
      <c r="E9" s="15">
        <v>35</v>
      </c>
      <c r="F9" s="15" t="s">
        <v>36</v>
      </c>
      <c r="G9" s="66">
        <v>23</v>
      </c>
      <c r="H9" s="63" t="s">
        <v>149</v>
      </c>
      <c r="I9" s="44" t="s">
        <v>132</v>
      </c>
      <c r="J9" s="75">
        <f>DATEVALUE(Table14[[#This Row],[ Date]]&amp;"-"&amp;Table14[[#This Row],[Month]]&amp;"-2026")</f>
        <v>46257</v>
      </c>
      <c r="K9" s="46" t="str">
        <f>CONCATENATE(Table14[[#This Row],[Brand Name]]," ",Table14[[#This Row],[Product Name]])</f>
        <v>Ninja Blender</v>
      </c>
    </row>
    <row r="10" spans="1:11" x14ac:dyDescent="0.25">
      <c r="A10" s="23" t="s">
        <v>52</v>
      </c>
      <c r="B10" s="24" t="s">
        <v>53</v>
      </c>
      <c r="C10" s="24" t="s">
        <v>54</v>
      </c>
      <c r="D10" s="35">
        <v>500</v>
      </c>
      <c r="E10" s="24">
        <v>50</v>
      </c>
      <c r="F10" s="24" t="s">
        <v>28</v>
      </c>
      <c r="G10" s="66">
        <v>5</v>
      </c>
      <c r="H10" s="63" t="s">
        <v>150</v>
      </c>
      <c r="I10" s="44" t="s">
        <v>132</v>
      </c>
      <c r="J10" s="75">
        <f>DATEVALUE(Table14[[#This Row],[ Date]]&amp;"-"&amp;Table14[[#This Row],[Month]]&amp;"-2026")</f>
        <v>46270</v>
      </c>
      <c r="K10" s="29" t="str">
        <f>CONCATENATE(Table14[[#This Row],[Brand Name]]," ",Table14[[#This Row],[Product Name]])</f>
        <v>Apple Tablet</v>
      </c>
    </row>
    <row r="11" spans="1:11" x14ac:dyDescent="0.25">
      <c r="A11" s="17" t="s">
        <v>55</v>
      </c>
      <c r="B11" s="15" t="s">
        <v>56</v>
      </c>
      <c r="C11" s="15" t="s">
        <v>57</v>
      </c>
      <c r="D11" s="34">
        <v>130</v>
      </c>
      <c r="E11" s="15">
        <v>10</v>
      </c>
      <c r="F11" s="15" t="s">
        <v>58</v>
      </c>
      <c r="G11" s="66">
        <v>14</v>
      </c>
      <c r="H11" s="63" t="s">
        <v>151</v>
      </c>
      <c r="I11" s="44" t="s">
        <v>132</v>
      </c>
      <c r="J11" s="75">
        <f>DATEVALUE(Table14[[#This Row],[ Date]]&amp;"-"&amp;Table14[[#This Row],[Month]]&amp;"-2026")</f>
        <v>46309</v>
      </c>
      <c r="K11" s="46" t="str">
        <f>CONCATENATE(Table14[[#This Row],[Brand Name]]," ",Table14[[#This Row],[Product Name]])</f>
        <v>Timberland Hiking Boots</v>
      </c>
    </row>
    <row r="12" spans="1:11" x14ac:dyDescent="0.25">
      <c r="A12" s="16" t="s">
        <v>59</v>
      </c>
      <c r="B12" s="14" t="s">
        <v>60</v>
      </c>
      <c r="C12" s="14" t="s">
        <v>61</v>
      </c>
      <c r="D12" s="33">
        <v>950</v>
      </c>
      <c r="E12" s="14">
        <v>25</v>
      </c>
      <c r="F12" s="14" t="s">
        <v>28</v>
      </c>
      <c r="G12" s="66">
        <v>17</v>
      </c>
      <c r="H12" s="63" t="s">
        <v>147</v>
      </c>
      <c r="I12" s="44" t="s">
        <v>133</v>
      </c>
      <c r="J12" s="75">
        <f>DATEVALUE(Table14[[#This Row],[ Date]]&amp;"-"&amp;Table14[[#This Row],[Month]]&amp;"-2026")</f>
        <v>46190</v>
      </c>
      <c r="K12" s="46" t="str">
        <f>CONCATENATE(Table14[[#This Row],[Brand Name]]," ",Table14[[#This Row],[Product Name]])</f>
        <v>HP Laptop</v>
      </c>
    </row>
    <row r="13" spans="1:11" x14ac:dyDescent="0.25">
      <c r="A13" s="27" t="s">
        <v>62</v>
      </c>
      <c r="B13" s="28" t="s">
        <v>30</v>
      </c>
      <c r="C13" s="28" t="s">
        <v>48</v>
      </c>
      <c r="D13" s="36">
        <v>90</v>
      </c>
      <c r="E13" s="28">
        <v>40</v>
      </c>
      <c r="F13" s="48" t="s">
        <v>32</v>
      </c>
      <c r="G13" s="66">
        <v>25</v>
      </c>
      <c r="H13" s="63" t="s">
        <v>152</v>
      </c>
      <c r="I13" s="44" t="s">
        <v>134</v>
      </c>
      <c r="J13" s="75">
        <f>DATEVALUE(Table14[[#This Row],[ Date]]&amp;"-"&amp;Table14[[#This Row],[Month]]&amp;"-2026")</f>
        <v>46351</v>
      </c>
      <c r="K13" s="29" t="str">
        <f>CONCATENATE(Table14[[#This Row],[Brand Name]]," ",Table14[[#This Row],[Product Name]])</f>
        <v>Adidas Sneakers</v>
      </c>
    </row>
    <row r="14" spans="1:11" x14ac:dyDescent="0.25">
      <c r="A14" s="16" t="s">
        <v>63</v>
      </c>
      <c r="B14" s="14" t="s">
        <v>34</v>
      </c>
      <c r="C14" s="14" t="s">
        <v>64</v>
      </c>
      <c r="D14" s="33">
        <v>120</v>
      </c>
      <c r="E14" s="14">
        <v>35</v>
      </c>
      <c r="F14" s="47" t="s">
        <v>28</v>
      </c>
      <c r="G14" s="66">
        <v>8</v>
      </c>
      <c r="H14" s="63" t="s">
        <v>153</v>
      </c>
      <c r="I14" s="44" t="s">
        <v>135</v>
      </c>
      <c r="J14" s="75">
        <f>DATEVALUE(Table14[[#This Row],[ Date]]&amp;"-"&amp;Table14[[#This Row],[Month]]&amp;"-2026")</f>
        <v>46364</v>
      </c>
      <c r="K14" s="46" t="str">
        <f>CONCATENATE(Table14[[#This Row],[Brand Name]]," ",Table14[[#This Row],[Product Name]])</f>
        <v>Nespresso Coffee Maker</v>
      </c>
    </row>
    <row r="15" spans="1:11" x14ac:dyDescent="0.25">
      <c r="A15" s="17" t="s">
        <v>65</v>
      </c>
      <c r="B15" s="15" t="s">
        <v>66</v>
      </c>
      <c r="C15" s="15" t="s">
        <v>67</v>
      </c>
      <c r="D15" s="34">
        <v>150</v>
      </c>
      <c r="E15" s="15">
        <v>15</v>
      </c>
      <c r="F15" s="15" t="s">
        <v>28</v>
      </c>
      <c r="G15" s="66">
        <v>18</v>
      </c>
      <c r="H15" s="63" t="s">
        <v>143</v>
      </c>
      <c r="I15" s="44" t="s">
        <v>136</v>
      </c>
      <c r="J15" s="75">
        <f>DATEVALUE(Table14[[#This Row],[ Date]]&amp;"-"&amp;Table14[[#This Row],[Month]]&amp;"-2026")</f>
        <v>46071</v>
      </c>
      <c r="K15" s="46" t="str">
        <f>CONCATENATE(Table14[[#This Row],[Brand Name]]," ",Table14[[#This Row],[Product Name]])</f>
        <v>Fitbit Smartwatch</v>
      </c>
    </row>
    <row r="16" spans="1:11" x14ac:dyDescent="0.25">
      <c r="A16" s="23" t="s">
        <v>68</v>
      </c>
      <c r="B16" s="24" t="s">
        <v>44</v>
      </c>
      <c r="C16" s="24" t="s">
        <v>70</v>
      </c>
      <c r="D16" s="35">
        <v>250</v>
      </c>
      <c r="E16" s="24">
        <v>20</v>
      </c>
      <c r="F16" s="24" t="s">
        <v>28</v>
      </c>
      <c r="G16" s="66">
        <v>16</v>
      </c>
      <c r="H16" s="63" t="s">
        <v>145</v>
      </c>
      <c r="I16" s="44" t="s">
        <v>137</v>
      </c>
      <c r="J16" s="75">
        <f>DATEVALUE(Table14[[#This Row],[ Date]]&amp;"-"&amp;Table14[[#This Row],[Month]]&amp;"-2026")</f>
        <v>46128</v>
      </c>
      <c r="K16" s="29" t="str">
        <f>CONCATENATE(Table14[[#This Row],[Brand Name]]," ",Table14[[#This Row],[Product Name]])</f>
        <v>Bose Headphones</v>
      </c>
    </row>
    <row r="17" spans="1:11" x14ac:dyDescent="0.25">
      <c r="A17" s="27" t="s">
        <v>71</v>
      </c>
      <c r="B17" s="28" t="s">
        <v>72</v>
      </c>
      <c r="C17" s="28" t="s">
        <v>73</v>
      </c>
      <c r="D17" s="36">
        <v>50</v>
      </c>
      <c r="E17" s="28">
        <v>35</v>
      </c>
      <c r="F17" s="28" t="s">
        <v>74</v>
      </c>
      <c r="G17" s="66">
        <v>21</v>
      </c>
      <c r="H17" s="63" t="s">
        <v>149</v>
      </c>
      <c r="I17" s="44" t="s">
        <v>136</v>
      </c>
      <c r="J17" s="75">
        <f>DATEVALUE(Table14[[#This Row],[ Date]]&amp;"-"&amp;Table14[[#This Row],[Month]]&amp;"-2026")</f>
        <v>46255</v>
      </c>
      <c r="K17" s="29" t="str">
        <f>CONCATENATE(Table14[[#This Row],[Brand Name]]," ",Table14[[#This Row],[Product Name]])</f>
        <v>Samsonite Laptop Bag</v>
      </c>
    </row>
    <row r="18" spans="1:11" x14ac:dyDescent="0.25">
      <c r="A18" s="16" t="s">
        <v>75</v>
      </c>
      <c r="B18" s="14" t="s">
        <v>66</v>
      </c>
      <c r="C18" s="14" t="s">
        <v>76</v>
      </c>
      <c r="D18" s="33">
        <v>160</v>
      </c>
      <c r="E18" s="14">
        <v>15</v>
      </c>
      <c r="F18" s="14" t="s">
        <v>28</v>
      </c>
      <c r="G18" s="66">
        <v>20</v>
      </c>
      <c r="H18" s="63" t="s">
        <v>149</v>
      </c>
      <c r="I18" s="44" t="s">
        <v>138</v>
      </c>
      <c r="J18" s="75">
        <f>DATEVALUE(Table14[[#This Row],[ Date]]&amp;"-"&amp;Table14[[#This Row],[Month]]&amp;"-2026")</f>
        <v>46254</v>
      </c>
      <c r="K18" s="46" t="str">
        <f>CONCATENATE(Table14[[#This Row],[Brand Name]]," ",Table14[[#This Row],[Product Name]])</f>
        <v>Huawei Smartwatch</v>
      </c>
    </row>
    <row r="19" spans="1:11" x14ac:dyDescent="0.25">
      <c r="A19" s="17" t="s">
        <v>77</v>
      </c>
      <c r="B19" s="15" t="s">
        <v>60</v>
      </c>
      <c r="C19" s="15" t="s">
        <v>78</v>
      </c>
      <c r="D19" s="34">
        <v>980</v>
      </c>
      <c r="E19" s="15">
        <v>10</v>
      </c>
      <c r="F19" s="15" t="s">
        <v>28</v>
      </c>
      <c r="G19" s="66">
        <v>27</v>
      </c>
      <c r="H19" s="63" t="s">
        <v>122</v>
      </c>
      <c r="I19" s="44" t="s">
        <v>139</v>
      </c>
      <c r="J19" s="75">
        <f>DATEVALUE(Table14[[#This Row],[ Date]]&amp;"-"&amp;Table14[[#This Row],[Month]]&amp;"-2026")</f>
        <v>46049</v>
      </c>
      <c r="K19" s="46" t="str">
        <f>CONCATENATE(Table14[[#This Row],[Brand Name]]," ",Table14[[#This Row],[Product Name]])</f>
        <v>Asus Laptop</v>
      </c>
    </row>
    <row r="20" spans="1:11" x14ac:dyDescent="0.25">
      <c r="A20" s="16" t="s">
        <v>79</v>
      </c>
      <c r="B20" s="14" t="s">
        <v>80</v>
      </c>
      <c r="C20" s="14" t="s">
        <v>81</v>
      </c>
      <c r="D20" s="33">
        <v>150</v>
      </c>
      <c r="E20" s="14">
        <v>15</v>
      </c>
      <c r="F20" s="14" t="s">
        <v>32</v>
      </c>
      <c r="G20" s="66">
        <v>1</v>
      </c>
      <c r="H20" s="63" t="s">
        <v>144</v>
      </c>
      <c r="I20" s="44" t="s">
        <v>132</v>
      </c>
      <c r="J20" s="75">
        <f>DATEVALUE(Table14[[#This Row],[ Date]]&amp;"-"&amp;Table14[[#This Row],[Month]]&amp;"-2026")</f>
        <v>46082</v>
      </c>
      <c r="K20" s="46" t="str">
        <f>CONCATENATE(Table14[[#This Row],[Brand Name]]," ",Table14[[#This Row],[Product Name]])</f>
        <v>Oakley Sunglasses</v>
      </c>
    </row>
    <row r="21" spans="1:11" x14ac:dyDescent="0.25">
      <c r="A21" s="27" t="s">
        <v>82</v>
      </c>
      <c r="B21" s="28" t="s">
        <v>83</v>
      </c>
      <c r="C21" s="28" t="s">
        <v>84</v>
      </c>
      <c r="D21" s="61">
        <v>297.85714285714283</v>
      </c>
      <c r="E21" s="28">
        <v>10</v>
      </c>
      <c r="F21" s="28" t="s">
        <v>58</v>
      </c>
      <c r="G21" s="66">
        <v>14</v>
      </c>
      <c r="H21" s="63" t="s">
        <v>149</v>
      </c>
      <c r="I21" s="44" t="s">
        <v>123</v>
      </c>
      <c r="J21" s="75">
        <f>DATEVALUE(Table14[[#This Row],[ Date]]&amp;"-"&amp;Table14[[#This Row],[Month]]&amp;"-2026")</f>
        <v>46248</v>
      </c>
      <c r="K21" s="29" t="str">
        <f>CONCATENATE(Table14[[#This Row],[Brand Name]]," ",Table14[[#This Row],[Product Name]])</f>
        <v>Coleman Camping Tent</v>
      </c>
    </row>
    <row r="22" spans="1:11" x14ac:dyDescent="0.25">
      <c r="A22" s="16" t="s">
        <v>85</v>
      </c>
      <c r="B22" s="14" t="s">
        <v>86</v>
      </c>
      <c r="C22" s="14" t="s">
        <v>87</v>
      </c>
      <c r="D22" s="33">
        <v>700</v>
      </c>
      <c r="E22" s="14">
        <v>50</v>
      </c>
      <c r="F22" s="14" t="s">
        <v>28</v>
      </c>
      <c r="G22" s="66">
        <v>14</v>
      </c>
      <c r="H22" s="63" t="s">
        <v>146</v>
      </c>
      <c r="I22" s="44" t="s">
        <v>140</v>
      </c>
      <c r="J22" s="75">
        <f>DATEVALUE(Table14[[#This Row],[ Date]]&amp;"-"&amp;Table14[[#This Row],[Month]]&amp;"-2026")</f>
        <v>46156</v>
      </c>
      <c r="K22" s="46" t="str">
        <f>CONCATENATE(Table14[[#This Row],[Brand Name]]," ",Table14[[#This Row],[Product Name]])</f>
        <v>Nikon Camera</v>
      </c>
    </row>
    <row r="23" spans="1:11" x14ac:dyDescent="0.25">
      <c r="A23" s="17" t="s">
        <v>88</v>
      </c>
      <c r="B23" s="15" t="s">
        <v>89</v>
      </c>
      <c r="C23" s="15" t="s">
        <v>90</v>
      </c>
      <c r="D23" s="34">
        <v>80</v>
      </c>
      <c r="E23" s="15">
        <v>20</v>
      </c>
      <c r="F23" s="15" t="s">
        <v>36</v>
      </c>
      <c r="G23" s="66">
        <v>9</v>
      </c>
      <c r="H23" s="63" t="s">
        <v>122</v>
      </c>
      <c r="I23" s="44" t="s">
        <v>136</v>
      </c>
      <c r="J23" s="75">
        <f>DATEVALUE(Table14[[#This Row],[ Date]]&amp;"-"&amp;Table14[[#This Row],[Month]]&amp;"-2026")</f>
        <v>46031</v>
      </c>
      <c r="K23" s="46" t="str">
        <f>CONCATENATE(Table14[[#This Row],[Brand Name]]," ",Table14[[#This Row],[Product Name]])</f>
        <v>Panasonic Microwave</v>
      </c>
    </row>
    <row r="24" spans="1:11" x14ac:dyDescent="0.25">
      <c r="A24" s="23" t="s">
        <v>91</v>
      </c>
      <c r="B24" s="24" t="s">
        <v>92</v>
      </c>
      <c r="C24" s="24" t="s">
        <v>93</v>
      </c>
      <c r="D24" s="35">
        <v>150</v>
      </c>
      <c r="E24" s="24">
        <v>30</v>
      </c>
      <c r="F24" s="49" t="s">
        <v>28</v>
      </c>
      <c r="G24" s="66">
        <v>19</v>
      </c>
      <c r="H24" s="63" t="s">
        <v>148</v>
      </c>
      <c r="I24" s="44" t="s">
        <v>141</v>
      </c>
      <c r="J24" s="75">
        <f>DATEVALUE(Table14[[#This Row],[ Date]]&amp;"-"&amp;Table14[[#This Row],[Month]]&amp;"-2026")</f>
        <v>46222</v>
      </c>
      <c r="K24" s="29" t="str">
        <f>CONCATENATE(Table14[[#This Row],[Brand Name]]," ",Table14[[#This Row],[Product Name]])</f>
        <v>Xiaomi Fitness Tracker</v>
      </c>
    </row>
    <row r="25" spans="1:11" x14ac:dyDescent="0.25">
      <c r="A25" s="54" t="s">
        <v>94</v>
      </c>
      <c r="B25" s="55" t="s">
        <v>95</v>
      </c>
      <c r="C25" s="55" t="s">
        <v>96</v>
      </c>
      <c r="D25" s="56">
        <v>800</v>
      </c>
      <c r="E25" s="55">
        <v>45</v>
      </c>
      <c r="F25" s="55" t="s">
        <v>28</v>
      </c>
      <c r="G25" s="66">
        <v>29</v>
      </c>
      <c r="H25" s="63" t="s">
        <v>150</v>
      </c>
      <c r="I25" s="44" t="s">
        <v>136</v>
      </c>
      <c r="J25" s="75">
        <f>DATEVALUE(Table14[[#This Row],[ Date]]&amp;"-"&amp;Table14[[#This Row],[Month]]&amp;"-2026")</f>
        <v>46294</v>
      </c>
      <c r="K25" s="29" t="str">
        <f>CONCATENATE(Table14[[#This Row],[Brand Name]]," ",Table14[[#This Row],[Product Name]])</f>
        <v>Google Smartphone</v>
      </c>
    </row>
    <row r="26" spans="1:11" x14ac:dyDescent="0.25">
      <c r="A26" s="17" t="s">
        <v>97</v>
      </c>
      <c r="B26" s="15" t="s">
        <v>80</v>
      </c>
      <c r="C26" s="15" t="s">
        <v>98</v>
      </c>
      <c r="D26" s="60">
        <v>297.85714285714283</v>
      </c>
      <c r="E26" s="15">
        <v>25</v>
      </c>
      <c r="F26" s="15" t="s">
        <v>32</v>
      </c>
      <c r="G26" s="66">
        <v>3</v>
      </c>
      <c r="H26" s="63" t="s">
        <v>147</v>
      </c>
      <c r="I26" s="44" t="s">
        <v>136</v>
      </c>
      <c r="J26" s="75">
        <f>DATEVALUE(Table14[[#This Row],[ Date]]&amp;"-"&amp;Table14[[#This Row],[Month]]&amp;"-2026")</f>
        <v>46176</v>
      </c>
      <c r="K26" s="46" t="str">
        <f>CONCATENATE(Table14[[#This Row],[Brand Name]]," ",Table14[[#This Row],[Product Name]])</f>
        <v>Ray-Ban Sunglasses</v>
      </c>
    </row>
    <row r="27" spans="1:11" x14ac:dyDescent="0.25">
      <c r="A27" s="57" t="s">
        <v>99</v>
      </c>
      <c r="B27" s="58" t="s">
        <v>50</v>
      </c>
      <c r="C27" s="58" t="s">
        <v>100</v>
      </c>
      <c r="D27" s="59">
        <v>400</v>
      </c>
      <c r="E27" s="58">
        <v>40</v>
      </c>
      <c r="F27" s="58" t="s">
        <v>36</v>
      </c>
      <c r="G27" s="66">
        <v>11</v>
      </c>
      <c r="H27" s="63" t="s">
        <v>148</v>
      </c>
      <c r="I27" s="44" t="s">
        <v>136</v>
      </c>
      <c r="J27" s="75">
        <f>DATEVALUE(Table14[[#This Row],[ Date]]&amp;"-"&amp;Table14[[#This Row],[Month]]&amp;"-2026")</f>
        <v>46214</v>
      </c>
      <c r="K27" s="46" t="str">
        <f>CONCATENATE(Table14[[#This Row],[Brand Name]]," ",Table14[[#This Row],[Product Name]])</f>
        <v>Vitamix Blender</v>
      </c>
    </row>
    <row r="28" spans="1:11" x14ac:dyDescent="0.25">
      <c r="A28" s="16" t="s">
        <v>101</v>
      </c>
      <c r="B28" s="14" t="s">
        <v>102</v>
      </c>
      <c r="C28" s="14" t="s">
        <v>103</v>
      </c>
      <c r="D28" s="33">
        <v>60</v>
      </c>
      <c r="E28" s="14">
        <v>30</v>
      </c>
      <c r="F28" s="14" t="s">
        <v>32</v>
      </c>
      <c r="G28" s="66">
        <v>7</v>
      </c>
      <c r="H28" s="63" t="s">
        <v>144</v>
      </c>
      <c r="I28" s="44" t="s">
        <v>136</v>
      </c>
      <c r="J28" s="75">
        <f>DATEVALUE(Table14[[#This Row],[ Date]]&amp;"-"&amp;Table14[[#This Row],[Month]]&amp;"-2026")</f>
        <v>46088</v>
      </c>
      <c r="K28" s="46" t="str">
        <f>CONCATENATE(Table14[[#This Row],[Brand Name]]," ",Table14[[#This Row],[Product Name]])</f>
        <v>Zara Dress</v>
      </c>
    </row>
    <row r="29" spans="1:11" x14ac:dyDescent="0.25">
      <c r="A29" s="17" t="s">
        <v>104</v>
      </c>
      <c r="B29" s="15" t="s">
        <v>105</v>
      </c>
      <c r="C29" s="15" t="s">
        <v>106</v>
      </c>
      <c r="D29" s="34">
        <v>40</v>
      </c>
      <c r="E29" s="15">
        <v>10</v>
      </c>
      <c r="F29" s="15" t="s">
        <v>36</v>
      </c>
      <c r="G29" s="66">
        <v>13</v>
      </c>
      <c r="H29" s="63" t="s">
        <v>145</v>
      </c>
      <c r="I29" s="44" t="s">
        <v>136</v>
      </c>
      <c r="J29" s="75">
        <f>DATEVALUE(Table14[[#This Row],[ Date]]&amp;"-"&amp;Table14[[#This Row],[Month]]&amp;"-2026")</f>
        <v>46125</v>
      </c>
      <c r="K29" s="46" t="str">
        <f>CONCATENATE(Table14[[#This Row],[Brand Name]]," ",Table14[[#This Row],[Product Name]])</f>
        <v>Hamilton Toaster</v>
      </c>
    </row>
    <row r="30" spans="1:11" x14ac:dyDescent="0.25">
      <c r="A30" s="16" t="s">
        <v>107</v>
      </c>
      <c r="B30" s="14" t="s">
        <v>92</v>
      </c>
      <c r="C30" s="14" t="s">
        <v>108</v>
      </c>
      <c r="D30" s="33">
        <v>130</v>
      </c>
      <c r="E30" s="14">
        <v>5</v>
      </c>
      <c r="F30" s="14" t="s">
        <v>28</v>
      </c>
      <c r="G30" s="66">
        <v>24</v>
      </c>
      <c r="H30" s="63" t="s">
        <v>146</v>
      </c>
      <c r="I30" s="44" t="s">
        <v>136</v>
      </c>
      <c r="J30" s="75">
        <f>DATEVALUE(Table14[[#This Row],[ Date]]&amp;"-"&amp;Table14[[#This Row],[Month]]&amp;"-2026")</f>
        <v>46166</v>
      </c>
      <c r="K30" s="46" t="str">
        <f>CONCATENATE(Table14[[#This Row],[Brand Name]]," ",Table14[[#This Row],[Product Name]])</f>
        <v>Garmin Fitness Tracker</v>
      </c>
    </row>
    <row r="31" spans="1:11" x14ac:dyDescent="0.25">
      <c r="A31" s="17" t="s">
        <v>109</v>
      </c>
      <c r="B31" s="15" t="s">
        <v>110</v>
      </c>
      <c r="C31" s="15" t="s">
        <v>111</v>
      </c>
      <c r="D31" s="34">
        <v>50</v>
      </c>
      <c r="E31" s="15">
        <v>50</v>
      </c>
      <c r="F31" s="15" t="s">
        <v>32</v>
      </c>
      <c r="G31" s="66">
        <v>2</v>
      </c>
      <c r="H31" s="63" t="s">
        <v>153</v>
      </c>
      <c r="I31" s="44" t="s">
        <v>136</v>
      </c>
      <c r="J31" s="75">
        <f>DATEVALUE(Table14[[#This Row],[ Date]]&amp;"-"&amp;Table14[[#This Row],[Month]]&amp;"-2026")</f>
        <v>46358</v>
      </c>
      <c r="K31" s="46" t="str">
        <f>CONCATENATE(Table14[[#This Row],[Brand Name]]," ",Table14[[#This Row],[Product Name]])</f>
        <v>Levi's Jeans</v>
      </c>
    </row>
    <row r="32" spans="1:11" x14ac:dyDescent="0.25">
      <c r="A32" s="21" t="s">
        <v>112</v>
      </c>
      <c r="B32" s="22" t="s">
        <v>113</v>
      </c>
      <c r="C32" s="22" t="s">
        <v>114</v>
      </c>
      <c r="D32" s="50">
        <v>100</v>
      </c>
      <c r="E32" s="22">
        <v>20</v>
      </c>
      <c r="F32" s="22" t="s">
        <v>74</v>
      </c>
      <c r="G32" s="66">
        <v>9</v>
      </c>
      <c r="H32" s="64" t="s">
        <v>148</v>
      </c>
      <c r="I32" s="51" t="s">
        <v>142</v>
      </c>
      <c r="J32" s="76">
        <f>DATEVALUE(Table14[[#This Row],[ Date]]&amp;"-"&amp;Table14[[#This Row],[Month]]&amp;"-2026")</f>
        <v>46212</v>
      </c>
      <c r="K32" s="52" t="str">
        <f>CONCATENATE(Table14[[#This Row],[Brand Name]]," ",Table14[[#This Row],[Product Name]])</f>
        <v>Casio Watch</v>
      </c>
    </row>
    <row r="33" spans="9:11" x14ac:dyDescent="0.25">
      <c r="I33" s="32"/>
      <c r="J33" s="77"/>
      <c r="K33" s="32"/>
    </row>
    <row r="34" spans="9:11" x14ac:dyDescent="0.25">
      <c r="I34" s="32"/>
      <c r="J34" s="77"/>
      <c r="K34" s="32"/>
    </row>
    <row r="35" spans="9:11" x14ac:dyDescent="0.25">
      <c r="I35" s="32"/>
      <c r="J35" s="77"/>
      <c r="K35" s="32"/>
    </row>
  </sheetData>
  <conditionalFormatting sqref="F1:F1048576">
    <cfRule type="containsText" dxfId="3" priority="2" operator="containsText" text="Electronics">
      <formula>NOT(ISERROR(SEARCH("Electronics",F1)))</formula>
    </cfRule>
  </conditionalFormatting>
  <conditionalFormatting sqref="D2:D3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{CBF489A4-92AB-403D-AA55-8AF56233D709}</x14:id>
        </ext>
      </extLst>
    </cfRule>
  </conditionalFormatting>
  <dataValidations count="1">
    <dataValidation type="list" allowBlank="1" showInputMessage="1" showErrorMessage="1" sqref="F6 F13:F14 F24" xr:uid="{0B290B3B-9AE0-419F-B7E9-B78B437A262C}">
      <formula1>"Fashion,Electronics,Kitchen,Outdoor,Accessories"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F489A4-92AB-403D-AA55-8AF56233D70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C</cp:lastModifiedBy>
  <dcterms:modified xsi:type="dcterms:W3CDTF">2026-10-30T18:04:17Z</dcterms:modified>
</cp:coreProperties>
</file>