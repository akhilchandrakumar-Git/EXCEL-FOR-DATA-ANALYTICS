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C70E34-CF55-4B82-838C-625680602F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16" i="2"/>
  <c r="M1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9" i="2"/>
  <c r="M8" i="2"/>
  <c r="M5" i="2"/>
  <c r="M4" i="2"/>
  <c r="M3" i="2"/>
</calcChain>
</file>

<file path=xl/sharedStrings.xml><?xml version="1.0" encoding="utf-8"?>
<sst xmlns="http://schemas.openxmlformats.org/spreadsheetml/2006/main" count="183" uniqueCount="125">
  <si>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</si>
  <si>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</si>
  <si>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</si>
  <si>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</si>
  <si>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</si>
  <si>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</si>
  <si>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</si>
  <si>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</si>
  <si>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</si>
  <si>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</si>
  <si>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</si>
  <si>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</si>
  <si>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</si>
  <si>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</si>
  <si>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</si>
  <si>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</si>
  <si>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</si>
  <si>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</si>
  <si>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</si>
  <si>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</si>
  <si>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</si>
  <si>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</si>
  <si>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</si>
  <si>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</si>
  <si>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</si>
  <si>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</si>
  <si>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</si>
  <si>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</si>
  <si>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</si>
  <si>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</si>
  <si>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</si>
  <si>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</si>
  <si>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</si>
  <si>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</si>
  <si>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</si>
  <si>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</si>
  <si>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</si>
  <si>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</si>
  <si>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</si>
  <si>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</si>
  <si>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</si>
  <si>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</si>
  <si>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</si>
  <si>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</si>
  <si>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</si>
  <si>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</si>
  <si>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</si>
  <si>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</si>
  <si>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</si>
  <si>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</si>
  <si>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</si>
  <si>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</si>
  <si>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</si>
  <si>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</si>
  <si>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</si>
  <si>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</si>
  <si>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</si>
  <si>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</si>
  <si>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</si>
  <si>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</si>
  <si>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</si>
  <si>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</si>
  <si>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</si>
  <si>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</si>
  <si>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</si>
  <si>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</si>
  <si>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</si>
  <si>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</si>
  <si>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</si>
  <si>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</si>
  <si>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</si>
  <si>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</si>
  <si>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</si>
  <si>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</si>
  <si>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</si>
  <si>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</si>
  <si>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</si>
  <si>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</si>
  <si>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</si>
  <si>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</si>
  <si>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</si>
  <si>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</si>
  <si>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</si>
  <si>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</si>
  <si>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</si>
  <si>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</si>
  <si>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</si>
  <si>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</si>
  <si>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</si>
  <si>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</si>
  <si>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</si>
  <si>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</si>
  <si>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</si>
  <si>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</si>
  <si>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</si>
  <si>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</si>
  <si>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</si>
  <si>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</si>
  <si>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</si>
  <si>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</si>
  <si>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</si>
  <si>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</si>
  <si>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</si>
  <si>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</si>
  <si>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</si>
  <si>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</si>
  <si>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</si>
  <si>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</si>
  <si>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</si>
  <si>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</si>
  <si>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 COUNT, AVERAGE</t>
  </si>
  <si>
    <t>MIN &amp; MAX</t>
  </si>
  <si>
    <t>IF FUNCTION</t>
  </si>
  <si>
    <t>• Using an IF function, create a new column
named Price Range to categorize products with a price greater than or equal to $500 as 'High Price' and others as 'Standard Price'.</t>
  </si>
  <si>
    <t>Price Range</t>
  </si>
  <si>
    <t>Column G</t>
  </si>
  <si>
    <t>SUMIF &amp; COUNTIF</t>
  </si>
  <si>
    <t>• Calculate the total price for products in the 'Electronics' 
category using the SUMIF function.</t>
  </si>
  <si>
    <t>LEFT, RIGHT &amp; MID</t>
  </si>
  <si>
    <t>Day</t>
  </si>
  <si>
    <t>Country Code</t>
  </si>
  <si>
    <t>Month</t>
  </si>
  <si>
    <t>Column H</t>
  </si>
  <si>
    <t>Column I</t>
  </si>
  <si>
    <t>Column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</si>
</sst>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4" borderId="0" xfId="0" applyFont="1" applyFill="1" applyAlignment="1"/>
    <xf numFmtId="0" fontId="7" fillId="0" borderId="0" xfId="0" applyFont="1" applyAlignment="1"/>
    <xf numFmtId="0" fontId="9" fillId="0" borderId="0" xfId="0" applyFont="1"/>
    <xf numFmtId="0" fontId="8" fillId="0" borderId="1" xfId="0" applyFont="1" applyBorder="1" applyAlignment="1"/>
    <xf numFmtId="44" fontId="0" fillId="0" borderId="1" xfId="1" applyFont="1" applyBorder="1" applyAlignment="1"/>
    <xf numFmtId="0" fontId="0" fillId="0" borderId="1" xfId="0" applyFont="1" applyBorder="1" applyAlignment="1"/>
    <xf numFmtId="0" fontId="7" fillId="5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Border="1"/>
    <xf numFmtId="0" fontId="10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wrapText="1"/>
    </xf>
    <xf numFmtId="44" fontId="0" fillId="0" borderId="1" xfId="1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7" t="s">
        <v>2</v>
      </c>
    </row>
    <row r="5" spans="1:3" ht="15.75" customHeight="1" x14ac:dyDescent="0.3">
      <c r="B5" s="2"/>
      <c r="C5" s="7" t="s">
        <v>3</v>
      </c>
    </row>
    <row r="6" spans="1:3" ht="15.75" customHeight="1" x14ac:dyDescent="0.3">
      <c r="B6" s="2"/>
      <c r="C6" s="7" t="s">
        <v>4</v>
      </c>
    </row>
    <row r="7" spans="1:3" ht="15.75" customHeight="1" x14ac:dyDescent="0.3">
      <c r="B7" s="3"/>
    </row>
    <row r="8" spans="1:3" ht="15.75" customHeight="1" x14ac:dyDescent="0.3">
      <c r="B8" s="2" t="s">
        <v>5</v>
      </c>
    </row>
    <row r="9" spans="1:3" ht="15.75" customHeight="1" x14ac:dyDescent="0.3">
      <c r="C9" s="7" t="s">
        <v>6</v>
      </c>
    </row>
    <row r="10" spans="1:3" ht="15.75" customHeight="1" x14ac:dyDescent="0.3">
      <c r="C10" s="7" t="s">
        <v>7</v>
      </c>
    </row>
    <row r="11" spans="1:3" ht="15.75" customHeight="1" x14ac:dyDescent="0.3">
      <c r="B11" s="3"/>
    </row>
    <row r="12" spans="1:3" ht="15.75" customHeight="1" x14ac:dyDescent="0.3">
      <c r="B12" s="2" t="s">
        <v>8</v>
      </c>
    </row>
    <row r="13" spans="1:3" ht="15.75" customHeight="1" x14ac:dyDescent="0.3">
      <c r="C13" s="7" t="s">
        <v>9</v>
      </c>
    </row>
    <row r="14" spans="1:3" ht="15.75" customHeight="1" x14ac:dyDescent="0.3">
      <c r="B14" s="3"/>
    </row>
    <row r="15" spans="1:3" ht="15.75" customHeight="1" x14ac:dyDescent="0.3">
      <c r="B15" s="2" t="s">
        <v>10</v>
      </c>
    </row>
    <row r="16" spans="1:3" ht="15.75" customHeight="1" x14ac:dyDescent="0.3">
      <c r="C16" s="7" t="s">
        <v>11</v>
      </c>
    </row>
    <row r="17" spans="2:3" ht="15.75" customHeight="1" x14ac:dyDescent="0.3">
      <c r="C17" s="7" t="s">
        <v>12</v>
      </c>
    </row>
    <row r="18" spans="2:3" ht="15.75" customHeight="1" x14ac:dyDescent="0.3">
      <c r="B18" s="3"/>
    </row>
    <row r="19" spans="2:3" ht="15.75" customHeight="1" x14ac:dyDescent="0.3">
      <c r="B19" s="2" t="s">
        <v>13</v>
      </c>
    </row>
    <row r="20" spans="2:3" ht="15.75" customHeight="1" x14ac:dyDescent="0.3">
      <c r="C20" s="7" t="s">
        <v>14</v>
      </c>
    </row>
    <row r="21" spans="2:3" ht="15.75" customHeight="1" x14ac:dyDescent="0.3">
      <c r="C21" s="7" t="s">
        <v>15</v>
      </c>
    </row>
    <row r="22" spans="2:3" ht="15.75" customHeight="1" x14ac:dyDescent="0.3">
      <c r="C22" s="7" t="s">
        <v>16</v>
      </c>
    </row>
    <row r="23" spans="2:3" ht="15.75" customHeight="1" x14ac:dyDescent="0.3">
      <c r="B23" s="3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K12" sqref="K1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8" width="12.6640625" customWidth="1"/>
    <col min="9" max="9" width="13.33203125" bestFit="1" customWidth="1"/>
    <col min="12" max="12" width="49.6640625" customWidth="1"/>
  </cols>
  <sheetData>
    <row r="1" spans="1:16" ht="15.75" customHeight="1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21" t="s">
        <v>114</v>
      </c>
      <c r="H1" s="21" t="s">
        <v>119</v>
      </c>
      <c r="I1" s="21" t="s">
        <v>120</v>
      </c>
      <c r="J1" s="21" t="s">
        <v>121</v>
      </c>
      <c r="K1" s="20"/>
    </row>
    <row r="2" spans="1:16" ht="15.75" customHeight="1" x14ac:dyDescent="0.25">
      <c r="A2" s="14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4" t="s">
        <v>26</v>
      </c>
      <c r="G2" s="14" t="str">
        <f>IF(D2&gt;=500,"High Price","Low Price")</f>
        <v>High Price</v>
      </c>
      <c r="H2" s="34" t="str">
        <f>LEFT(A2,2)</f>
        <v>28</v>
      </c>
      <c r="I2" s="16" t="str">
        <f>RIGHT(A2,2)</f>
        <v>US</v>
      </c>
      <c r="J2" s="16" t="str">
        <f>MID(A2,4,3)</f>
        <v>JAN</v>
      </c>
      <c r="K2" s="4"/>
      <c r="L2" s="11" t="s">
        <v>110</v>
      </c>
      <c r="M2" s="11"/>
      <c r="N2" s="6"/>
      <c r="O2" s="6"/>
      <c r="P2" s="6"/>
    </row>
    <row r="3" spans="1:16" ht="15.75" customHeight="1" x14ac:dyDescent="0.25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  <c r="G3" s="14" t="str">
        <f t="shared" ref="G3:G35" si="0">IF(D3&gt;=500,"High Price","Low Price")</f>
        <v>Low Price</v>
      </c>
      <c r="H3" s="34" t="str">
        <f t="shared" ref="H3:H35" si="1">LEFT(A3,2)</f>
        <v>15</v>
      </c>
      <c r="I3" s="16" t="str">
        <f t="shared" ref="I3:I35" si="2">RIGHT(A3,2)</f>
        <v>US</v>
      </c>
      <c r="J3" s="16" t="str">
        <f t="shared" ref="J3:J35" si="3">MID(A3,4,3)</f>
        <v>FEB</v>
      </c>
      <c r="K3" s="4"/>
      <c r="L3" s="8" t="s">
        <v>2</v>
      </c>
      <c r="M3" s="9">
        <f>SUM(D2:D35)</f>
        <v>10100</v>
      </c>
    </row>
    <row r="4" spans="1:16" ht="15.75" customHeight="1" x14ac:dyDescent="0.25">
      <c r="A4" s="14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4" t="s">
        <v>34</v>
      </c>
      <c r="G4" s="14" t="str">
        <f t="shared" si="0"/>
        <v>Low Price</v>
      </c>
      <c r="H4" s="34" t="str">
        <f t="shared" si="1"/>
        <v>03</v>
      </c>
      <c r="I4" s="16" t="str">
        <f t="shared" si="2"/>
        <v>US</v>
      </c>
      <c r="J4" s="16" t="str">
        <f t="shared" si="3"/>
        <v>MAR</v>
      </c>
      <c r="K4" s="4"/>
      <c r="L4" s="8" t="s">
        <v>3</v>
      </c>
      <c r="M4" s="10">
        <f>COUNT(E2:E35)</f>
        <v>34</v>
      </c>
    </row>
    <row r="5" spans="1:16" ht="15.75" customHeight="1" x14ac:dyDescent="0.25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  <c r="G5" s="14" t="str">
        <f t="shared" si="0"/>
        <v>High Price</v>
      </c>
      <c r="H5" s="34" t="str">
        <f t="shared" si="1"/>
        <v>11</v>
      </c>
      <c r="I5" s="16" t="str">
        <f t="shared" si="2"/>
        <v>US</v>
      </c>
      <c r="J5" s="16" t="str">
        <f t="shared" si="3"/>
        <v>APR</v>
      </c>
      <c r="K5" s="4"/>
      <c r="L5" s="8" t="s">
        <v>4</v>
      </c>
      <c r="M5" s="9">
        <f>AVERAGE(D2:D35)</f>
        <v>297.05882352941177</v>
      </c>
    </row>
    <row r="6" spans="1:16" ht="15.75" customHeight="1" x14ac:dyDescent="0.25">
      <c r="A6" s="14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4" t="s">
        <v>41</v>
      </c>
      <c r="G6" s="14" t="str">
        <f t="shared" si="0"/>
        <v>Low Price</v>
      </c>
      <c r="H6" s="34" t="str">
        <f t="shared" si="1"/>
        <v>22</v>
      </c>
      <c r="I6" s="16" t="str">
        <f t="shared" si="2"/>
        <v>US</v>
      </c>
      <c r="J6" s="16" t="str">
        <f t="shared" si="3"/>
        <v>MAY</v>
      </c>
      <c r="K6" s="4"/>
    </row>
    <row r="7" spans="1:16" ht="15.75" customHeight="1" x14ac:dyDescent="0.25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  <c r="G7" s="14" t="str">
        <f t="shared" si="0"/>
        <v>Low Price</v>
      </c>
      <c r="H7" s="34" t="str">
        <f t="shared" si="1"/>
        <v>07</v>
      </c>
      <c r="I7" s="16" t="str">
        <f t="shared" si="2"/>
        <v>UK</v>
      </c>
      <c r="J7" s="16" t="str">
        <f t="shared" si="3"/>
        <v>JUN</v>
      </c>
      <c r="K7" s="4"/>
      <c r="L7" s="11" t="s">
        <v>111</v>
      </c>
      <c r="M7" s="11"/>
    </row>
    <row r="8" spans="1:16" ht="15.75" customHeight="1" x14ac:dyDescent="0.25">
      <c r="A8" s="14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4" t="s">
        <v>30</v>
      </c>
      <c r="G8" s="14" t="str">
        <f t="shared" si="0"/>
        <v>Low Price</v>
      </c>
      <c r="H8" s="34" t="str">
        <f t="shared" si="1"/>
        <v>19</v>
      </c>
      <c r="I8" s="16" t="str">
        <f t="shared" si="2"/>
        <v>UK</v>
      </c>
      <c r="J8" s="16" t="str">
        <f t="shared" si="3"/>
        <v>JUL</v>
      </c>
      <c r="K8" s="4"/>
      <c r="L8" s="8" t="s">
        <v>6</v>
      </c>
      <c r="M8" s="9">
        <f>MIN(D2:D35)</f>
        <v>30</v>
      </c>
    </row>
    <row r="9" spans="1:16" ht="15.75" customHeight="1" x14ac:dyDescent="0.25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  <c r="G9" s="14" t="str">
        <f t="shared" si="0"/>
        <v>Low Price</v>
      </c>
      <c r="H9" s="34" t="str">
        <f t="shared" si="1"/>
        <v>23</v>
      </c>
      <c r="I9" s="16" t="str">
        <f t="shared" si="2"/>
        <v>UK</v>
      </c>
      <c r="J9" s="16" t="str">
        <f t="shared" si="3"/>
        <v>AUG</v>
      </c>
      <c r="K9" s="4"/>
      <c r="L9" s="12" t="s">
        <v>7</v>
      </c>
      <c r="M9" s="9">
        <f>MAX(D2:D35)</f>
        <v>1000</v>
      </c>
    </row>
    <row r="10" spans="1:16" ht="15.75" customHeight="1" x14ac:dyDescent="0.25">
      <c r="A10" s="14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4" t="s">
        <v>26</v>
      </c>
      <c r="G10" s="14" t="str">
        <f t="shared" si="0"/>
        <v>High Price</v>
      </c>
      <c r="H10" s="34" t="str">
        <f t="shared" si="1"/>
        <v>05</v>
      </c>
      <c r="I10" s="16" t="str">
        <f t="shared" si="2"/>
        <v>UK</v>
      </c>
      <c r="J10" s="16" t="str">
        <f t="shared" si="3"/>
        <v>SEP</v>
      </c>
      <c r="K10" s="4"/>
    </row>
    <row r="11" spans="1:16" ht="15.75" customHeight="1" x14ac:dyDescent="0.25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  <c r="G11" s="14" t="str">
        <f t="shared" si="0"/>
        <v>Low Price</v>
      </c>
      <c r="H11" s="34" t="str">
        <f t="shared" si="1"/>
        <v>14</v>
      </c>
      <c r="I11" s="16" t="str">
        <f t="shared" si="2"/>
        <v>UK</v>
      </c>
      <c r="J11" s="16" t="str">
        <f t="shared" si="3"/>
        <v>OCT</v>
      </c>
      <c r="K11" s="4"/>
      <c r="L11" s="11" t="s">
        <v>112</v>
      </c>
      <c r="M11" s="24"/>
    </row>
    <row r="12" spans="1:16" s="19" customFormat="1" ht="52.8" x14ac:dyDescent="0.25">
      <c r="A12" s="22" t="s">
        <v>57</v>
      </c>
      <c r="B12" s="22" t="s">
        <v>24</v>
      </c>
      <c r="C12" s="22" t="s">
        <v>58</v>
      </c>
      <c r="D12" s="23">
        <v>950</v>
      </c>
      <c r="E12" s="23">
        <v>25</v>
      </c>
      <c r="F12" s="22" t="s">
        <v>26</v>
      </c>
      <c r="G12" s="22" t="str">
        <f t="shared" si="0"/>
        <v>High Price</v>
      </c>
      <c r="H12" s="23" t="str">
        <f t="shared" si="1"/>
        <v>17</v>
      </c>
      <c r="I12" s="17" t="str">
        <f t="shared" si="2"/>
        <v>IN</v>
      </c>
      <c r="J12" s="17" t="str">
        <f t="shared" si="3"/>
        <v>JUN</v>
      </c>
      <c r="K12" s="18"/>
      <c r="L12" s="25" t="s">
        <v>113</v>
      </c>
      <c r="M12" s="26" t="s">
        <v>115</v>
      </c>
    </row>
    <row r="13" spans="1:16" ht="15.75" customHeight="1" x14ac:dyDescent="0.25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  <c r="G13" s="14" t="str">
        <f t="shared" si="0"/>
        <v>Low Price</v>
      </c>
      <c r="H13" s="34" t="str">
        <f t="shared" si="1"/>
        <v>25</v>
      </c>
      <c r="I13" s="16" t="str">
        <f t="shared" si="2"/>
        <v>AU</v>
      </c>
      <c r="J13" s="16" t="str">
        <f t="shared" si="3"/>
        <v>NOV</v>
      </c>
      <c r="K13" s="4"/>
    </row>
    <row r="14" spans="1:16" ht="13.2" x14ac:dyDescent="0.25">
      <c r="A14" s="14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4" t="s">
        <v>34</v>
      </c>
      <c r="G14" s="14" t="str">
        <f t="shared" si="0"/>
        <v>Low Price</v>
      </c>
      <c r="H14" s="34" t="str">
        <f t="shared" si="1"/>
        <v>08</v>
      </c>
      <c r="I14" s="16" t="str">
        <f t="shared" si="2"/>
        <v>DE</v>
      </c>
      <c r="J14" s="16" t="str">
        <f t="shared" si="3"/>
        <v>DEC</v>
      </c>
      <c r="K14" s="4"/>
      <c r="L14" s="11" t="s">
        <v>116</v>
      </c>
      <c r="M14" s="24"/>
    </row>
    <row r="15" spans="1:16" ht="26.4" x14ac:dyDescent="0.25">
      <c r="A15" s="27" t="s">
        <v>62</v>
      </c>
      <c r="B15" s="27" t="s">
        <v>63</v>
      </c>
      <c r="C15" s="27" t="s">
        <v>64</v>
      </c>
      <c r="D15" s="28">
        <v>150</v>
      </c>
      <c r="E15" s="28">
        <v>15</v>
      </c>
      <c r="F15" s="27" t="s">
        <v>26</v>
      </c>
      <c r="G15" s="22" t="str">
        <f t="shared" si="0"/>
        <v>Low Price</v>
      </c>
      <c r="H15" s="23" t="str">
        <f t="shared" si="1"/>
        <v>18</v>
      </c>
      <c r="I15" s="17" t="str">
        <f t="shared" si="2"/>
        <v>CA</v>
      </c>
      <c r="J15" s="17" t="str">
        <f t="shared" si="3"/>
        <v>FEB</v>
      </c>
      <c r="K15" s="4"/>
      <c r="L15" s="29" t="s">
        <v>117</v>
      </c>
      <c r="M15" s="30">
        <f>SUMIF(F2:F35,"Electronics",D2:D35)</f>
        <v>8050</v>
      </c>
    </row>
    <row r="16" spans="1:16" ht="26.4" x14ac:dyDescent="0.25">
      <c r="A16" s="14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4" t="s">
        <v>26</v>
      </c>
      <c r="G16" s="14" t="str">
        <f t="shared" si="0"/>
        <v>Low Price</v>
      </c>
      <c r="H16" s="34" t="str">
        <f t="shared" si="1"/>
        <v>16</v>
      </c>
      <c r="I16" s="16" t="str">
        <f t="shared" si="2"/>
        <v>ES</v>
      </c>
      <c r="J16" s="16" t="str">
        <f t="shared" si="3"/>
        <v>APR</v>
      </c>
      <c r="K16" s="4"/>
      <c r="L16" s="29" t="s">
        <v>12</v>
      </c>
      <c r="M16" s="31">
        <f>COUNTIF(D2:D35,"&lt;100")</f>
        <v>11</v>
      </c>
    </row>
    <row r="17" spans="1:13" ht="13.2" x14ac:dyDescent="0.25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  <c r="G17" s="14" t="str">
        <f t="shared" si="0"/>
        <v>Low Price</v>
      </c>
      <c r="H17" s="34" t="str">
        <f t="shared" si="1"/>
        <v>21</v>
      </c>
      <c r="I17" s="16" t="str">
        <f t="shared" si="2"/>
        <v>CA</v>
      </c>
      <c r="J17" s="16" t="str">
        <f t="shared" si="3"/>
        <v>AUG</v>
      </c>
      <c r="K17" s="4"/>
    </row>
    <row r="18" spans="1:13" ht="15.75" customHeight="1" x14ac:dyDescent="0.25">
      <c r="A18" s="14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4" t="s">
        <v>26</v>
      </c>
      <c r="G18" s="14" t="str">
        <f t="shared" si="0"/>
        <v>Low Price</v>
      </c>
      <c r="H18" s="34" t="str">
        <f t="shared" si="1"/>
        <v>20</v>
      </c>
      <c r="I18" s="16" t="str">
        <f t="shared" si="2"/>
        <v>CN</v>
      </c>
      <c r="J18" s="16" t="str">
        <f t="shared" si="3"/>
        <v>AUG</v>
      </c>
      <c r="K18" s="4"/>
      <c r="L18" s="11" t="s">
        <v>118</v>
      </c>
      <c r="M18" s="24"/>
    </row>
    <row r="19" spans="1:13" ht="26.4" x14ac:dyDescent="0.25">
      <c r="A19" s="32" t="s">
        <v>73</v>
      </c>
      <c r="B19" s="32" t="s">
        <v>24</v>
      </c>
      <c r="C19" s="32" t="s">
        <v>74</v>
      </c>
      <c r="D19" s="32">
        <v>980</v>
      </c>
      <c r="E19" s="32">
        <v>10</v>
      </c>
      <c r="F19" s="32" t="s">
        <v>26</v>
      </c>
      <c r="G19" s="33" t="str">
        <f t="shared" si="0"/>
        <v>High Price</v>
      </c>
      <c r="H19" s="23" t="str">
        <f t="shared" si="1"/>
        <v>27</v>
      </c>
      <c r="I19" s="17" t="str">
        <f t="shared" si="2"/>
        <v>IT</v>
      </c>
      <c r="J19" s="17" t="str">
        <f t="shared" si="3"/>
        <v>JAN</v>
      </c>
      <c r="K19" s="4"/>
      <c r="L19" s="29" t="s">
        <v>14</v>
      </c>
      <c r="M19" s="26" t="s">
        <v>122</v>
      </c>
    </row>
    <row r="20" spans="1:13" ht="39.6" x14ac:dyDescent="0.25">
      <c r="A20" s="33" t="s">
        <v>75</v>
      </c>
      <c r="B20" s="33" t="s">
        <v>76</v>
      </c>
      <c r="C20" s="33" t="s">
        <v>77</v>
      </c>
      <c r="D20" s="33">
        <v>150</v>
      </c>
      <c r="E20" s="33">
        <v>15</v>
      </c>
      <c r="F20" s="33" t="s">
        <v>30</v>
      </c>
      <c r="G20" s="33" t="str">
        <f t="shared" si="0"/>
        <v>Low Price</v>
      </c>
      <c r="H20" s="23" t="str">
        <f t="shared" si="1"/>
        <v>01</v>
      </c>
      <c r="I20" s="17" t="str">
        <f t="shared" si="2"/>
        <v>UK</v>
      </c>
      <c r="J20" s="17" t="str">
        <f t="shared" si="3"/>
        <v>MAR</v>
      </c>
      <c r="K20" s="4"/>
      <c r="L20" s="29" t="s">
        <v>15</v>
      </c>
      <c r="M20" s="26" t="s">
        <v>123</v>
      </c>
    </row>
    <row r="21" spans="1:13" ht="39.6" x14ac:dyDescent="0.25">
      <c r="A21" s="32" t="s">
        <v>78</v>
      </c>
      <c r="B21" s="32" t="s">
        <v>79</v>
      </c>
      <c r="C21" s="32" t="s">
        <v>80</v>
      </c>
      <c r="D21" s="32">
        <v>200</v>
      </c>
      <c r="E21" s="32">
        <v>10</v>
      </c>
      <c r="F21" s="32" t="s">
        <v>41</v>
      </c>
      <c r="G21" s="33" t="str">
        <f t="shared" si="0"/>
        <v>Low Price</v>
      </c>
      <c r="H21" s="23" t="str">
        <f t="shared" si="1"/>
        <v>14</v>
      </c>
      <c r="I21" s="17" t="str">
        <f t="shared" si="2"/>
        <v>US</v>
      </c>
      <c r="J21" s="17" t="str">
        <f t="shared" si="3"/>
        <v>AUG</v>
      </c>
      <c r="K21" s="4"/>
      <c r="L21" s="29" t="s">
        <v>16</v>
      </c>
      <c r="M21" s="26" t="s">
        <v>124</v>
      </c>
    </row>
    <row r="22" spans="1:13" ht="15.75" customHeight="1" x14ac:dyDescent="0.25">
      <c r="A22" s="14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4" t="s">
        <v>26</v>
      </c>
      <c r="G22" s="14" t="str">
        <f t="shared" si="0"/>
        <v>High Price</v>
      </c>
      <c r="H22" s="34" t="str">
        <f t="shared" si="1"/>
        <v>14</v>
      </c>
      <c r="I22" s="16" t="str">
        <f t="shared" si="2"/>
        <v>RU</v>
      </c>
      <c r="J22" s="16" t="str">
        <f t="shared" si="3"/>
        <v>MAY</v>
      </c>
      <c r="K22" s="4"/>
      <c r="M22" s="19"/>
    </row>
    <row r="23" spans="1:13" ht="15.75" customHeight="1" x14ac:dyDescent="0.25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  <c r="G23" s="14" t="str">
        <f t="shared" si="0"/>
        <v>Low Price</v>
      </c>
      <c r="H23" s="34" t="str">
        <f t="shared" si="1"/>
        <v>09</v>
      </c>
      <c r="I23" s="16" t="str">
        <f t="shared" si="2"/>
        <v>CA</v>
      </c>
      <c r="J23" s="16" t="str">
        <f t="shared" si="3"/>
        <v>JAN</v>
      </c>
      <c r="K23" s="4"/>
    </row>
    <row r="24" spans="1:13" ht="15.75" customHeight="1" x14ac:dyDescent="0.25">
      <c r="A24" s="14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4" t="s">
        <v>26</v>
      </c>
      <c r="G24" s="14" t="str">
        <f t="shared" si="0"/>
        <v>Low Price</v>
      </c>
      <c r="H24" s="34" t="str">
        <f t="shared" si="1"/>
        <v>19</v>
      </c>
      <c r="I24" s="16" t="str">
        <f t="shared" si="2"/>
        <v>BR</v>
      </c>
      <c r="J24" s="16" t="str">
        <f t="shared" si="3"/>
        <v>JUL</v>
      </c>
      <c r="K24" s="4"/>
    </row>
    <row r="25" spans="1:13" ht="15.75" customHeight="1" x14ac:dyDescent="0.25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  <c r="G25" s="14" t="str">
        <f t="shared" si="0"/>
        <v>Low Price</v>
      </c>
      <c r="H25" s="34" t="str">
        <f t="shared" si="1"/>
        <v>21</v>
      </c>
      <c r="I25" s="16" t="str">
        <f t="shared" si="2"/>
        <v>CA</v>
      </c>
      <c r="J25" s="16" t="str">
        <f t="shared" si="3"/>
        <v>AUG</v>
      </c>
      <c r="K25" s="5"/>
    </row>
    <row r="26" spans="1:13" ht="15.75" customHeight="1" x14ac:dyDescent="0.25">
      <c r="A26" s="14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4" t="s">
        <v>26</v>
      </c>
      <c r="G26" s="14" t="str">
        <f t="shared" si="0"/>
        <v>High Price</v>
      </c>
      <c r="H26" s="34" t="str">
        <f t="shared" si="1"/>
        <v>29</v>
      </c>
      <c r="I26" s="16" t="str">
        <f t="shared" si="2"/>
        <v>CA</v>
      </c>
      <c r="J26" s="16" t="str">
        <f t="shared" si="3"/>
        <v>SEP</v>
      </c>
      <c r="K26" s="4"/>
    </row>
    <row r="27" spans="1:13" ht="15.75" customHeight="1" x14ac:dyDescent="0.25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  <c r="G27" s="14" t="str">
        <f t="shared" si="0"/>
        <v>Low Price</v>
      </c>
      <c r="H27" s="34" t="str">
        <f t="shared" si="1"/>
        <v>03</v>
      </c>
      <c r="I27" s="16" t="str">
        <f t="shared" si="2"/>
        <v>CA</v>
      </c>
      <c r="J27" s="16" t="str">
        <f t="shared" si="3"/>
        <v>JUN</v>
      </c>
      <c r="K27" s="4"/>
    </row>
    <row r="28" spans="1:13" ht="15.75" customHeight="1" x14ac:dyDescent="0.25">
      <c r="A28" s="14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4" t="s">
        <v>34</v>
      </c>
      <c r="G28" s="14" t="str">
        <f t="shared" si="0"/>
        <v>Low Price</v>
      </c>
      <c r="H28" s="34" t="str">
        <f t="shared" si="1"/>
        <v>11</v>
      </c>
      <c r="I28" s="16" t="str">
        <f t="shared" si="2"/>
        <v>CA</v>
      </c>
      <c r="J28" s="16" t="str">
        <f t="shared" si="3"/>
        <v>JUL</v>
      </c>
      <c r="K28" s="4"/>
    </row>
    <row r="29" spans="1:13" ht="15.75" customHeight="1" x14ac:dyDescent="0.25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  <c r="G29" s="14" t="str">
        <f t="shared" si="0"/>
        <v>Low Price</v>
      </c>
      <c r="H29" s="34" t="str">
        <f t="shared" si="1"/>
        <v>16</v>
      </c>
      <c r="I29" s="16" t="str">
        <f t="shared" si="2"/>
        <v>ES</v>
      </c>
      <c r="J29" s="16" t="str">
        <f t="shared" si="3"/>
        <v>APR</v>
      </c>
      <c r="K29" s="5"/>
    </row>
    <row r="30" spans="1:13" ht="15.75" customHeight="1" x14ac:dyDescent="0.25">
      <c r="A30" s="14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4" t="s">
        <v>30</v>
      </c>
      <c r="G30" s="14" t="str">
        <f t="shared" si="0"/>
        <v>Low Price</v>
      </c>
      <c r="H30" s="34" t="str">
        <f t="shared" si="1"/>
        <v>07</v>
      </c>
      <c r="I30" s="16" t="str">
        <f t="shared" si="2"/>
        <v>CA</v>
      </c>
      <c r="J30" s="16" t="str">
        <f t="shared" si="3"/>
        <v>MAR</v>
      </c>
      <c r="K30" s="4"/>
    </row>
    <row r="31" spans="1:13" ht="15.75" customHeight="1" x14ac:dyDescent="0.25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  <c r="G31" s="14" t="str">
        <f t="shared" si="0"/>
        <v>Low Price</v>
      </c>
      <c r="H31" s="34" t="str">
        <f t="shared" si="1"/>
        <v>13</v>
      </c>
      <c r="I31" s="16" t="str">
        <f t="shared" si="2"/>
        <v>CA</v>
      </c>
      <c r="J31" s="16" t="str">
        <f t="shared" si="3"/>
        <v>APR</v>
      </c>
      <c r="K31" s="4"/>
    </row>
    <row r="32" spans="1:13" ht="15.75" customHeight="1" x14ac:dyDescent="0.25">
      <c r="A32" s="14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4" t="s">
        <v>26</v>
      </c>
      <c r="G32" s="14" t="str">
        <f t="shared" si="0"/>
        <v>Low Price</v>
      </c>
      <c r="H32" s="34" t="str">
        <f t="shared" si="1"/>
        <v>24</v>
      </c>
      <c r="I32" s="16" t="str">
        <f t="shared" si="2"/>
        <v>CA</v>
      </c>
      <c r="J32" s="16" t="str">
        <f t="shared" si="3"/>
        <v>MAY</v>
      </c>
      <c r="K32" s="4"/>
    </row>
    <row r="33" spans="1:11" ht="15.75" customHeight="1" x14ac:dyDescent="0.25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  <c r="G33" s="14" t="str">
        <f t="shared" si="0"/>
        <v>Low Price</v>
      </c>
      <c r="H33" s="34" t="str">
        <f t="shared" si="1"/>
        <v>02</v>
      </c>
      <c r="I33" s="16" t="str">
        <f t="shared" si="2"/>
        <v>CA</v>
      </c>
      <c r="J33" s="16" t="str">
        <f t="shared" si="3"/>
        <v>DEC</v>
      </c>
      <c r="K33" s="4"/>
    </row>
    <row r="34" spans="1:11" ht="15.75" customHeight="1" x14ac:dyDescent="0.25">
      <c r="A34" s="14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4" t="s">
        <v>26</v>
      </c>
      <c r="G34" s="14" t="str">
        <f t="shared" si="0"/>
        <v>High Price</v>
      </c>
      <c r="H34" s="34" t="str">
        <f t="shared" si="1"/>
        <v>17</v>
      </c>
      <c r="I34" s="16" t="str">
        <f t="shared" si="2"/>
        <v>IN</v>
      </c>
      <c r="J34" s="16" t="str">
        <f t="shared" si="3"/>
        <v>JUN</v>
      </c>
      <c r="K34" s="4"/>
    </row>
    <row r="35" spans="1:11" ht="15.75" customHeight="1" x14ac:dyDescent="0.25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  <c r="G35" s="14" t="str">
        <f t="shared" si="0"/>
        <v>Low Price</v>
      </c>
      <c r="H35" s="34" t="str">
        <f t="shared" si="1"/>
        <v>09</v>
      </c>
      <c r="I35" s="16" t="str">
        <f t="shared" si="2"/>
        <v>FR</v>
      </c>
      <c r="J35" s="16" t="str">
        <f t="shared" si="3"/>
        <v>JUL</v>
      </c>
      <c r="K35" s="4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L14:M14"/>
    <mergeCell ref="L18:M18"/>
    <mergeCell ref="L2:M2"/>
    <mergeCell ref="L7:M7"/>
    <mergeCell ref="L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C</cp:lastModifiedBy>
  <dcterms:modified xsi:type="dcterms:W3CDTF">2026-10-21T17:22:24Z</dcterms:modified>
</cp:coreProperties>
</file>